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0A43C12-E8AC-458B-8656-99CF0DB357DC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README" sheetId="1" r:id="rId1"/>
    <sheet name="Dashboard" sheetId="2" r:id="rId2"/>
    <sheet name="SKU_Master" sheetId="3" r:id="rId3"/>
    <sheet name="Demand_Stats" sheetId="4" r:id="rId4"/>
    <sheet name="ABC_Analysis" sheetId="5" r:id="rId5"/>
    <sheet name="Reorder_Point_Calc" sheetId="6" r:id="rId6"/>
    <sheet name="Fill_Rate_Impact" sheetId="7" r:id="rId7"/>
    <sheet name="Forecast_Model" sheetId="8" r:id="rId8"/>
    <sheet name="Reorder_Alerts" sheetId="9" r:id="rId9"/>
  </sheets>
  <definedNames>
    <definedName name="_xlnm._FilterDatabase" localSheetId="4" hidden="1">ABC_Analysis!$A$1:$G$151</definedName>
    <definedName name="_xlnm._FilterDatabase" localSheetId="3" hidden="1">Demand_Stats!$A$1:$D$151</definedName>
    <definedName name="_xlnm._FilterDatabase" localSheetId="8" hidden="1">Reorder_Alerts!$A$3:$L$126</definedName>
    <definedName name="_xlnm._FilterDatabase" localSheetId="5" hidden="1">Reorder_Point_Calc!$A$1:$M$151</definedName>
    <definedName name="_xlnm._FilterDatabase" localSheetId="2" hidden="1">SKU_Master!$A$1:$K$151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26" i="9" l="1"/>
  <c r="L126" i="9" s="1"/>
  <c r="K125" i="9"/>
  <c r="L125" i="9" s="1"/>
  <c r="K124" i="9"/>
  <c r="L124" i="9" s="1"/>
  <c r="K123" i="9"/>
  <c r="L123" i="9" s="1"/>
  <c r="K122" i="9"/>
  <c r="L122" i="9" s="1"/>
  <c r="K121" i="9"/>
  <c r="L121" i="9" s="1"/>
  <c r="K120" i="9"/>
  <c r="L120" i="9" s="1"/>
  <c r="K119" i="9"/>
  <c r="L119" i="9" s="1"/>
  <c r="K118" i="9"/>
  <c r="L118" i="9" s="1"/>
  <c r="K117" i="9"/>
  <c r="L117" i="9" s="1"/>
  <c r="K116" i="9"/>
  <c r="L116" i="9" s="1"/>
  <c r="K115" i="9"/>
  <c r="L115" i="9" s="1"/>
  <c r="K114" i="9"/>
  <c r="L114" i="9" s="1"/>
  <c r="K113" i="9"/>
  <c r="L113" i="9" s="1"/>
  <c r="K112" i="9"/>
  <c r="L112" i="9" s="1"/>
  <c r="K111" i="9"/>
  <c r="L111" i="9" s="1"/>
  <c r="K110" i="9"/>
  <c r="L110" i="9" s="1"/>
  <c r="K109" i="9"/>
  <c r="L109" i="9" s="1"/>
  <c r="K108" i="9"/>
  <c r="L108" i="9" s="1"/>
  <c r="K107" i="9"/>
  <c r="L107" i="9" s="1"/>
  <c r="K106" i="9"/>
  <c r="L106" i="9" s="1"/>
  <c r="K105" i="9"/>
  <c r="L105" i="9" s="1"/>
  <c r="K104" i="9"/>
  <c r="L104" i="9" s="1"/>
  <c r="K103" i="9"/>
  <c r="L103" i="9" s="1"/>
  <c r="K102" i="9"/>
  <c r="L102" i="9" s="1"/>
  <c r="K101" i="9"/>
  <c r="L101" i="9" s="1"/>
  <c r="K100" i="9"/>
  <c r="L100" i="9" s="1"/>
  <c r="K99" i="9"/>
  <c r="L99" i="9" s="1"/>
  <c r="K98" i="9"/>
  <c r="L98" i="9" s="1"/>
  <c r="K97" i="9"/>
  <c r="L97" i="9" s="1"/>
  <c r="K96" i="9"/>
  <c r="L96" i="9" s="1"/>
  <c r="K95" i="9"/>
  <c r="L95" i="9" s="1"/>
  <c r="K94" i="9"/>
  <c r="L94" i="9" s="1"/>
  <c r="K93" i="9"/>
  <c r="L93" i="9" s="1"/>
  <c r="K92" i="9"/>
  <c r="L92" i="9" s="1"/>
  <c r="K91" i="9"/>
  <c r="L91" i="9" s="1"/>
  <c r="K90" i="9"/>
  <c r="L90" i="9" s="1"/>
  <c r="K89" i="9"/>
  <c r="L89" i="9" s="1"/>
  <c r="K88" i="9"/>
  <c r="L88" i="9" s="1"/>
  <c r="K87" i="9"/>
  <c r="L87" i="9" s="1"/>
  <c r="K86" i="9"/>
  <c r="L86" i="9" s="1"/>
  <c r="K85" i="9"/>
  <c r="L85" i="9" s="1"/>
  <c r="K84" i="9"/>
  <c r="L84" i="9" s="1"/>
  <c r="K83" i="9"/>
  <c r="L83" i="9" s="1"/>
  <c r="K82" i="9"/>
  <c r="L82" i="9" s="1"/>
  <c r="K81" i="9"/>
  <c r="L81" i="9" s="1"/>
  <c r="K80" i="9"/>
  <c r="L80" i="9" s="1"/>
  <c r="K79" i="9"/>
  <c r="L79" i="9" s="1"/>
  <c r="K78" i="9"/>
  <c r="L78" i="9" s="1"/>
  <c r="K77" i="9"/>
  <c r="L77" i="9" s="1"/>
  <c r="K76" i="9"/>
  <c r="L76" i="9" s="1"/>
  <c r="K75" i="9"/>
  <c r="L75" i="9" s="1"/>
  <c r="K74" i="9"/>
  <c r="L74" i="9" s="1"/>
  <c r="K73" i="9"/>
  <c r="L73" i="9" s="1"/>
  <c r="K72" i="9"/>
  <c r="L72" i="9" s="1"/>
  <c r="K71" i="9"/>
  <c r="L71" i="9" s="1"/>
  <c r="K70" i="9"/>
  <c r="L70" i="9" s="1"/>
  <c r="K69" i="9"/>
  <c r="L69" i="9" s="1"/>
  <c r="K68" i="9"/>
  <c r="L68" i="9" s="1"/>
  <c r="K67" i="9"/>
  <c r="L67" i="9" s="1"/>
  <c r="K66" i="9"/>
  <c r="L66" i="9" s="1"/>
  <c r="K65" i="9"/>
  <c r="L65" i="9" s="1"/>
  <c r="K64" i="9"/>
  <c r="L64" i="9" s="1"/>
  <c r="K63" i="9"/>
  <c r="L63" i="9" s="1"/>
  <c r="K62" i="9"/>
  <c r="L62" i="9" s="1"/>
  <c r="K61" i="9"/>
  <c r="L61" i="9" s="1"/>
  <c r="K60" i="9"/>
  <c r="L60" i="9" s="1"/>
  <c r="K59" i="9"/>
  <c r="L59" i="9" s="1"/>
  <c r="K58" i="9"/>
  <c r="L58" i="9" s="1"/>
  <c r="K57" i="9"/>
  <c r="L57" i="9" s="1"/>
  <c r="K56" i="9"/>
  <c r="L56" i="9" s="1"/>
  <c r="K55" i="9"/>
  <c r="L55" i="9" s="1"/>
  <c r="K54" i="9"/>
  <c r="L54" i="9" s="1"/>
  <c r="K53" i="9"/>
  <c r="L53" i="9" s="1"/>
  <c r="K52" i="9"/>
  <c r="L52" i="9" s="1"/>
  <c r="K51" i="9"/>
  <c r="L51" i="9" s="1"/>
  <c r="K50" i="9"/>
  <c r="L50" i="9" s="1"/>
  <c r="K49" i="9"/>
  <c r="L49" i="9" s="1"/>
  <c r="K48" i="9"/>
  <c r="L48" i="9" s="1"/>
  <c r="K47" i="9"/>
  <c r="L47" i="9" s="1"/>
  <c r="K46" i="9"/>
  <c r="L46" i="9" s="1"/>
  <c r="K45" i="9"/>
  <c r="L45" i="9" s="1"/>
  <c r="K44" i="9"/>
  <c r="L44" i="9" s="1"/>
  <c r="K43" i="9"/>
  <c r="L43" i="9" s="1"/>
  <c r="K42" i="9"/>
  <c r="L42" i="9" s="1"/>
  <c r="K41" i="9"/>
  <c r="L41" i="9" s="1"/>
  <c r="K40" i="9"/>
  <c r="L40" i="9" s="1"/>
  <c r="K39" i="9"/>
  <c r="L39" i="9" s="1"/>
  <c r="K38" i="9"/>
  <c r="L38" i="9" s="1"/>
  <c r="L37" i="9"/>
  <c r="K37" i="9"/>
  <c r="K36" i="9"/>
  <c r="L36" i="9" s="1"/>
  <c r="K35" i="9"/>
  <c r="L35" i="9" s="1"/>
  <c r="K34" i="9"/>
  <c r="L34" i="9" s="1"/>
  <c r="K33" i="9"/>
  <c r="L33" i="9" s="1"/>
  <c r="K32" i="9"/>
  <c r="L32" i="9" s="1"/>
  <c r="K31" i="9"/>
  <c r="L31" i="9" s="1"/>
  <c r="K30" i="9"/>
  <c r="L30" i="9" s="1"/>
  <c r="K29" i="9"/>
  <c r="L29" i="9" s="1"/>
  <c r="K28" i="9"/>
  <c r="L28" i="9" s="1"/>
  <c r="K27" i="9"/>
  <c r="L27" i="9" s="1"/>
  <c r="K26" i="9"/>
  <c r="L26" i="9" s="1"/>
  <c r="K25" i="9"/>
  <c r="L25" i="9" s="1"/>
  <c r="K24" i="9"/>
  <c r="L24" i="9" s="1"/>
  <c r="K23" i="9"/>
  <c r="L23" i="9" s="1"/>
  <c r="K22" i="9"/>
  <c r="L22" i="9" s="1"/>
  <c r="K21" i="9"/>
  <c r="L21" i="9" s="1"/>
  <c r="K20" i="9"/>
  <c r="L20" i="9" s="1"/>
  <c r="K19" i="9"/>
  <c r="L19" i="9" s="1"/>
  <c r="K18" i="9"/>
  <c r="L18" i="9" s="1"/>
  <c r="K17" i="9"/>
  <c r="L17" i="9" s="1"/>
  <c r="K16" i="9"/>
  <c r="L16" i="9" s="1"/>
  <c r="K15" i="9"/>
  <c r="L15" i="9" s="1"/>
  <c r="K14" i="9"/>
  <c r="L14" i="9" s="1"/>
  <c r="K13" i="9"/>
  <c r="L13" i="9" s="1"/>
  <c r="K12" i="9"/>
  <c r="L12" i="9" s="1"/>
  <c r="K11" i="9"/>
  <c r="L11" i="9" s="1"/>
  <c r="K10" i="9"/>
  <c r="L10" i="9" s="1"/>
  <c r="K9" i="9"/>
  <c r="L9" i="9" s="1"/>
  <c r="K8" i="9"/>
  <c r="L8" i="9" s="1"/>
  <c r="K7" i="9"/>
  <c r="L7" i="9" s="1"/>
  <c r="K6" i="9"/>
  <c r="L6" i="9" s="1"/>
  <c r="K5" i="9"/>
  <c r="L5" i="9" s="1"/>
  <c r="K4" i="9"/>
  <c r="L4" i="9" s="1"/>
  <c r="D7" i="7"/>
  <c r="K151" i="6"/>
  <c r="E151" i="6"/>
  <c r="D151" i="6"/>
  <c r="C151" i="6"/>
  <c r="A151" i="6"/>
  <c r="K150" i="6"/>
  <c r="E150" i="6"/>
  <c r="D150" i="6"/>
  <c r="C150" i="6"/>
  <c r="A150" i="6"/>
  <c r="K149" i="6"/>
  <c r="E149" i="6"/>
  <c r="D149" i="6"/>
  <c r="C149" i="6"/>
  <c r="A149" i="6"/>
  <c r="K148" i="6"/>
  <c r="E148" i="6"/>
  <c r="D148" i="6"/>
  <c r="C148" i="6"/>
  <c r="A148" i="6"/>
  <c r="K147" i="6"/>
  <c r="E147" i="6"/>
  <c r="D147" i="6"/>
  <c r="C147" i="6"/>
  <c r="A147" i="6"/>
  <c r="K146" i="6"/>
  <c r="E146" i="6"/>
  <c r="D146" i="6"/>
  <c r="C146" i="6"/>
  <c r="A146" i="6"/>
  <c r="K145" i="6"/>
  <c r="E145" i="6"/>
  <c r="D145" i="6"/>
  <c r="C145" i="6"/>
  <c r="A145" i="6"/>
  <c r="K144" i="6"/>
  <c r="E144" i="6"/>
  <c r="D144" i="6"/>
  <c r="C144" i="6"/>
  <c r="A144" i="6"/>
  <c r="K143" i="6"/>
  <c r="E143" i="6"/>
  <c r="D143" i="6"/>
  <c r="C143" i="6"/>
  <c r="A143" i="6"/>
  <c r="K142" i="6"/>
  <c r="E142" i="6"/>
  <c r="D142" i="6"/>
  <c r="C142" i="6"/>
  <c r="A142" i="6"/>
  <c r="K141" i="6"/>
  <c r="E141" i="6"/>
  <c r="D141" i="6"/>
  <c r="C141" i="6"/>
  <c r="A141" i="6"/>
  <c r="K140" i="6"/>
  <c r="E140" i="6"/>
  <c r="D140" i="6"/>
  <c r="C140" i="6"/>
  <c r="A140" i="6"/>
  <c r="K139" i="6"/>
  <c r="E139" i="6"/>
  <c r="D139" i="6"/>
  <c r="C139" i="6"/>
  <c r="A139" i="6"/>
  <c r="K138" i="6"/>
  <c r="E138" i="6"/>
  <c r="D138" i="6"/>
  <c r="C138" i="6"/>
  <c r="A138" i="6"/>
  <c r="K137" i="6"/>
  <c r="E137" i="6"/>
  <c r="D137" i="6"/>
  <c r="C137" i="6"/>
  <c r="A137" i="6"/>
  <c r="K136" i="6"/>
  <c r="E136" i="6"/>
  <c r="D136" i="6"/>
  <c r="C136" i="6"/>
  <c r="A136" i="6"/>
  <c r="K135" i="6"/>
  <c r="E135" i="6"/>
  <c r="D135" i="6"/>
  <c r="C135" i="6"/>
  <c r="A135" i="6"/>
  <c r="K134" i="6"/>
  <c r="E134" i="6"/>
  <c r="D134" i="6"/>
  <c r="C134" i="6"/>
  <c r="A134" i="6"/>
  <c r="K133" i="6"/>
  <c r="E133" i="6"/>
  <c r="D133" i="6"/>
  <c r="C133" i="6"/>
  <c r="A133" i="6"/>
  <c r="K132" i="6"/>
  <c r="E132" i="6"/>
  <c r="D132" i="6"/>
  <c r="C132" i="6"/>
  <c r="A132" i="6"/>
  <c r="K131" i="6"/>
  <c r="E131" i="6"/>
  <c r="D131" i="6"/>
  <c r="C131" i="6"/>
  <c r="A131" i="6"/>
  <c r="K130" i="6"/>
  <c r="E130" i="6"/>
  <c r="D130" i="6"/>
  <c r="C130" i="6"/>
  <c r="A130" i="6"/>
  <c r="K129" i="6"/>
  <c r="E129" i="6"/>
  <c r="D129" i="6"/>
  <c r="C129" i="6"/>
  <c r="A129" i="6"/>
  <c r="K128" i="6"/>
  <c r="E128" i="6"/>
  <c r="D128" i="6"/>
  <c r="C128" i="6"/>
  <c r="A128" i="6"/>
  <c r="K127" i="6"/>
  <c r="E127" i="6"/>
  <c r="D127" i="6"/>
  <c r="C127" i="6"/>
  <c r="A127" i="6"/>
  <c r="K126" i="6"/>
  <c r="E126" i="6"/>
  <c r="D126" i="6"/>
  <c r="C126" i="6"/>
  <c r="A126" i="6"/>
  <c r="K125" i="6"/>
  <c r="E125" i="6"/>
  <c r="D125" i="6"/>
  <c r="C125" i="6"/>
  <c r="A125" i="6"/>
  <c r="K124" i="6"/>
  <c r="E124" i="6"/>
  <c r="D124" i="6"/>
  <c r="C124" i="6"/>
  <c r="A124" i="6"/>
  <c r="K123" i="6"/>
  <c r="E123" i="6"/>
  <c r="D123" i="6"/>
  <c r="C123" i="6"/>
  <c r="A123" i="6"/>
  <c r="K122" i="6"/>
  <c r="E122" i="6"/>
  <c r="D122" i="6"/>
  <c r="C122" i="6"/>
  <c r="A122" i="6"/>
  <c r="K121" i="6"/>
  <c r="E121" i="6"/>
  <c r="D121" i="6"/>
  <c r="C121" i="6"/>
  <c r="A121" i="6"/>
  <c r="K120" i="6"/>
  <c r="E120" i="6"/>
  <c r="D120" i="6"/>
  <c r="C120" i="6"/>
  <c r="A120" i="6"/>
  <c r="K119" i="6"/>
  <c r="E119" i="6"/>
  <c r="D119" i="6"/>
  <c r="C119" i="6"/>
  <c r="A119" i="6"/>
  <c r="K118" i="6"/>
  <c r="E118" i="6"/>
  <c r="D118" i="6"/>
  <c r="C118" i="6"/>
  <c r="A118" i="6"/>
  <c r="K117" i="6"/>
  <c r="E117" i="6"/>
  <c r="D117" i="6"/>
  <c r="C117" i="6"/>
  <c r="A117" i="6"/>
  <c r="K116" i="6"/>
  <c r="E116" i="6"/>
  <c r="D116" i="6"/>
  <c r="C116" i="6"/>
  <c r="A116" i="6"/>
  <c r="K115" i="6"/>
  <c r="E115" i="6"/>
  <c r="D115" i="6"/>
  <c r="C115" i="6"/>
  <c r="A115" i="6"/>
  <c r="K114" i="6"/>
  <c r="E114" i="6"/>
  <c r="D114" i="6"/>
  <c r="C114" i="6"/>
  <c r="A114" i="6"/>
  <c r="K113" i="6"/>
  <c r="E113" i="6"/>
  <c r="D113" i="6"/>
  <c r="C113" i="6"/>
  <c r="A113" i="6"/>
  <c r="K112" i="6"/>
  <c r="E112" i="6"/>
  <c r="D112" i="6"/>
  <c r="C112" i="6"/>
  <c r="A112" i="6"/>
  <c r="K111" i="6"/>
  <c r="E111" i="6"/>
  <c r="D111" i="6"/>
  <c r="C111" i="6"/>
  <c r="A111" i="6"/>
  <c r="K110" i="6"/>
  <c r="E110" i="6"/>
  <c r="D110" i="6"/>
  <c r="C110" i="6"/>
  <c r="A110" i="6"/>
  <c r="K109" i="6"/>
  <c r="E109" i="6"/>
  <c r="D109" i="6"/>
  <c r="C109" i="6"/>
  <c r="A109" i="6"/>
  <c r="K108" i="6"/>
  <c r="E108" i="6"/>
  <c r="D108" i="6"/>
  <c r="C108" i="6"/>
  <c r="A108" i="6"/>
  <c r="K107" i="6"/>
  <c r="E107" i="6"/>
  <c r="D107" i="6"/>
  <c r="C107" i="6"/>
  <c r="A107" i="6"/>
  <c r="K106" i="6"/>
  <c r="E106" i="6"/>
  <c r="D106" i="6"/>
  <c r="C106" i="6"/>
  <c r="A106" i="6"/>
  <c r="K105" i="6"/>
  <c r="E105" i="6"/>
  <c r="D105" i="6"/>
  <c r="C105" i="6"/>
  <c r="A105" i="6"/>
  <c r="K104" i="6"/>
  <c r="E104" i="6"/>
  <c r="D104" i="6"/>
  <c r="C104" i="6"/>
  <c r="A104" i="6"/>
  <c r="K103" i="6"/>
  <c r="E103" i="6"/>
  <c r="D103" i="6"/>
  <c r="C103" i="6"/>
  <c r="A103" i="6"/>
  <c r="K102" i="6"/>
  <c r="E102" i="6"/>
  <c r="D102" i="6"/>
  <c r="C102" i="6"/>
  <c r="A102" i="6"/>
  <c r="K101" i="6"/>
  <c r="E101" i="6"/>
  <c r="D101" i="6"/>
  <c r="C101" i="6"/>
  <c r="A101" i="6"/>
  <c r="K100" i="6"/>
  <c r="E100" i="6"/>
  <c r="D100" i="6"/>
  <c r="C100" i="6"/>
  <c r="A100" i="6"/>
  <c r="K99" i="6"/>
  <c r="E99" i="6"/>
  <c r="D99" i="6"/>
  <c r="C99" i="6"/>
  <c r="A99" i="6"/>
  <c r="K98" i="6"/>
  <c r="E98" i="6"/>
  <c r="D98" i="6"/>
  <c r="C98" i="6"/>
  <c r="A98" i="6"/>
  <c r="K97" i="6"/>
  <c r="E97" i="6"/>
  <c r="D97" i="6"/>
  <c r="C97" i="6"/>
  <c r="A97" i="6"/>
  <c r="K96" i="6"/>
  <c r="E96" i="6"/>
  <c r="D96" i="6"/>
  <c r="C96" i="6"/>
  <c r="A96" i="6"/>
  <c r="K95" i="6"/>
  <c r="E95" i="6"/>
  <c r="D95" i="6"/>
  <c r="C95" i="6"/>
  <c r="A95" i="6"/>
  <c r="K94" i="6"/>
  <c r="E94" i="6"/>
  <c r="D94" i="6"/>
  <c r="C94" i="6"/>
  <c r="A94" i="6"/>
  <c r="K93" i="6"/>
  <c r="E93" i="6"/>
  <c r="D93" i="6"/>
  <c r="C93" i="6"/>
  <c r="A93" i="6"/>
  <c r="K92" i="6"/>
  <c r="E92" i="6"/>
  <c r="D92" i="6"/>
  <c r="C92" i="6"/>
  <c r="A92" i="6"/>
  <c r="K91" i="6"/>
  <c r="E91" i="6"/>
  <c r="D91" i="6"/>
  <c r="C91" i="6"/>
  <c r="A91" i="6"/>
  <c r="K90" i="6"/>
  <c r="E90" i="6"/>
  <c r="D90" i="6"/>
  <c r="C90" i="6"/>
  <c r="A90" i="6"/>
  <c r="K89" i="6"/>
  <c r="E89" i="6"/>
  <c r="D89" i="6"/>
  <c r="C89" i="6"/>
  <c r="A89" i="6"/>
  <c r="K88" i="6"/>
  <c r="E88" i="6"/>
  <c r="D88" i="6"/>
  <c r="C88" i="6"/>
  <c r="A88" i="6"/>
  <c r="K87" i="6"/>
  <c r="E87" i="6"/>
  <c r="D87" i="6"/>
  <c r="C87" i="6"/>
  <c r="A87" i="6"/>
  <c r="K86" i="6"/>
  <c r="E86" i="6"/>
  <c r="D86" i="6"/>
  <c r="C86" i="6"/>
  <c r="A86" i="6"/>
  <c r="K85" i="6"/>
  <c r="E85" i="6"/>
  <c r="D85" i="6"/>
  <c r="C85" i="6"/>
  <c r="A85" i="6"/>
  <c r="K84" i="6"/>
  <c r="E84" i="6"/>
  <c r="D84" i="6"/>
  <c r="C84" i="6"/>
  <c r="A84" i="6"/>
  <c r="K83" i="6"/>
  <c r="E83" i="6"/>
  <c r="D83" i="6"/>
  <c r="C83" i="6"/>
  <c r="A83" i="6"/>
  <c r="K82" i="6"/>
  <c r="E82" i="6"/>
  <c r="D82" i="6"/>
  <c r="C82" i="6"/>
  <c r="A82" i="6"/>
  <c r="K81" i="6"/>
  <c r="E81" i="6"/>
  <c r="D81" i="6"/>
  <c r="C81" i="6"/>
  <c r="A81" i="6"/>
  <c r="K80" i="6"/>
  <c r="E80" i="6"/>
  <c r="D80" i="6"/>
  <c r="C80" i="6"/>
  <c r="A80" i="6"/>
  <c r="K79" i="6"/>
  <c r="E79" i="6"/>
  <c r="D79" i="6"/>
  <c r="C79" i="6"/>
  <c r="A79" i="6"/>
  <c r="K78" i="6"/>
  <c r="E78" i="6"/>
  <c r="D78" i="6"/>
  <c r="C78" i="6"/>
  <c r="A78" i="6"/>
  <c r="K77" i="6"/>
  <c r="E77" i="6"/>
  <c r="D77" i="6"/>
  <c r="C77" i="6"/>
  <c r="A77" i="6"/>
  <c r="K76" i="6"/>
  <c r="E76" i="6"/>
  <c r="D76" i="6"/>
  <c r="C76" i="6"/>
  <c r="A76" i="6"/>
  <c r="K75" i="6"/>
  <c r="E75" i="6"/>
  <c r="D75" i="6"/>
  <c r="C75" i="6"/>
  <c r="A75" i="6"/>
  <c r="K74" i="6"/>
  <c r="E74" i="6"/>
  <c r="D74" i="6"/>
  <c r="C74" i="6"/>
  <c r="A74" i="6"/>
  <c r="K73" i="6"/>
  <c r="E73" i="6"/>
  <c r="D73" i="6"/>
  <c r="C73" i="6"/>
  <c r="A73" i="6"/>
  <c r="K72" i="6"/>
  <c r="E72" i="6"/>
  <c r="D72" i="6"/>
  <c r="C72" i="6"/>
  <c r="A72" i="6"/>
  <c r="K71" i="6"/>
  <c r="E71" i="6"/>
  <c r="D71" i="6"/>
  <c r="C71" i="6"/>
  <c r="A71" i="6"/>
  <c r="K70" i="6"/>
  <c r="E70" i="6"/>
  <c r="D70" i="6"/>
  <c r="C70" i="6"/>
  <c r="A70" i="6"/>
  <c r="K69" i="6"/>
  <c r="E69" i="6"/>
  <c r="D69" i="6"/>
  <c r="C69" i="6"/>
  <c r="A69" i="6"/>
  <c r="K68" i="6"/>
  <c r="E68" i="6"/>
  <c r="D68" i="6"/>
  <c r="C68" i="6"/>
  <c r="A68" i="6"/>
  <c r="K67" i="6"/>
  <c r="E67" i="6"/>
  <c r="D67" i="6"/>
  <c r="C67" i="6"/>
  <c r="A67" i="6"/>
  <c r="K66" i="6"/>
  <c r="E66" i="6"/>
  <c r="D66" i="6"/>
  <c r="C66" i="6"/>
  <c r="A66" i="6"/>
  <c r="K65" i="6"/>
  <c r="E65" i="6"/>
  <c r="D65" i="6"/>
  <c r="C65" i="6"/>
  <c r="A65" i="6"/>
  <c r="K64" i="6"/>
  <c r="E64" i="6"/>
  <c r="D64" i="6"/>
  <c r="C64" i="6"/>
  <c r="A64" i="6"/>
  <c r="K63" i="6"/>
  <c r="E63" i="6"/>
  <c r="D63" i="6"/>
  <c r="C63" i="6"/>
  <c r="A63" i="6"/>
  <c r="K62" i="6"/>
  <c r="E62" i="6"/>
  <c r="D62" i="6"/>
  <c r="C62" i="6"/>
  <c r="A62" i="6"/>
  <c r="K61" i="6"/>
  <c r="E61" i="6"/>
  <c r="D61" i="6"/>
  <c r="C61" i="6"/>
  <c r="A61" i="6"/>
  <c r="K60" i="6"/>
  <c r="E60" i="6"/>
  <c r="D60" i="6"/>
  <c r="C60" i="6"/>
  <c r="A60" i="6"/>
  <c r="K59" i="6"/>
  <c r="E59" i="6"/>
  <c r="D59" i="6"/>
  <c r="C59" i="6"/>
  <c r="A59" i="6"/>
  <c r="K58" i="6"/>
  <c r="E58" i="6"/>
  <c r="D58" i="6"/>
  <c r="C58" i="6"/>
  <c r="A58" i="6"/>
  <c r="K57" i="6"/>
  <c r="E57" i="6"/>
  <c r="D57" i="6"/>
  <c r="C57" i="6"/>
  <c r="A57" i="6"/>
  <c r="K56" i="6"/>
  <c r="E56" i="6"/>
  <c r="D56" i="6"/>
  <c r="C56" i="6"/>
  <c r="A56" i="6"/>
  <c r="K55" i="6"/>
  <c r="E55" i="6"/>
  <c r="D55" i="6"/>
  <c r="C55" i="6"/>
  <c r="A55" i="6"/>
  <c r="K54" i="6"/>
  <c r="E54" i="6"/>
  <c r="D54" i="6"/>
  <c r="C54" i="6"/>
  <c r="A54" i="6"/>
  <c r="K53" i="6"/>
  <c r="E53" i="6"/>
  <c r="D53" i="6"/>
  <c r="C53" i="6"/>
  <c r="A53" i="6"/>
  <c r="K52" i="6"/>
  <c r="E52" i="6"/>
  <c r="D52" i="6"/>
  <c r="C52" i="6"/>
  <c r="A52" i="6"/>
  <c r="K51" i="6"/>
  <c r="E51" i="6"/>
  <c r="D51" i="6"/>
  <c r="C51" i="6"/>
  <c r="A51" i="6"/>
  <c r="K50" i="6"/>
  <c r="E50" i="6"/>
  <c r="D50" i="6"/>
  <c r="C50" i="6"/>
  <c r="A50" i="6"/>
  <c r="K49" i="6"/>
  <c r="E49" i="6"/>
  <c r="D49" i="6"/>
  <c r="C49" i="6"/>
  <c r="A49" i="6"/>
  <c r="K48" i="6"/>
  <c r="E48" i="6"/>
  <c r="D48" i="6"/>
  <c r="C48" i="6"/>
  <c r="A48" i="6"/>
  <c r="K47" i="6"/>
  <c r="E47" i="6"/>
  <c r="D47" i="6"/>
  <c r="C47" i="6"/>
  <c r="A47" i="6"/>
  <c r="K46" i="6"/>
  <c r="E46" i="6"/>
  <c r="D46" i="6"/>
  <c r="C46" i="6"/>
  <c r="A46" i="6"/>
  <c r="K45" i="6"/>
  <c r="E45" i="6"/>
  <c r="D45" i="6"/>
  <c r="C45" i="6"/>
  <c r="A45" i="6"/>
  <c r="K44" i="6"/>
  <c r="E44" i="6"/>
  <c r="D44" i="6"/>
  <c r="C44" i="6"/>
  <c r="A44" i="6"/>
  <c r="K43" i="6"/>
  <c r="E43" i="6"/>
  <c r="D43" i="6"/>
  <c r="C43" i="6"/>
  <c r="A43" i="6"/>
  <c r="K42" i="6"/>
  <c r="E42" i="6"/>
  <c r="D42" i="6"/>
  <c r="C42" i="6"/>
  <c r="A42" i="6"/>
  <c r="K41" i="6"/>
  <c r="E41" i="6"/>
  <c r="D41" i="6"/>
  <c r="C41" i="6"/>
  <c r="A41" i="6"/>
  <c r="K40" i="6"/>
  <c r="E40" i="6"/>
  <c r="D40" i="6"/>
  <c r="C40" i="6"/>
  <c r="A40" i="6"/>
  <c r="K39" i="6"/>
  <c r="E39" i="6"/>
  <c r="D39" i="6"/>
  <c r="C39" i="6"/>
  <c r="A39" i="6"/>
  <c r="K38" i="6"/>
  <c r="E38" i="6"/>
  <c r="D38" i="6"/>
  <c r="C38" i="6"/>
  <c r="A38" i="6"/>
  <c r="K37" i="6"/>
  <c r="E37" i="6"/>
  <c r="D37" i="6"/>
  <c r="C37" i="6"/>
  <c r="A37" i="6"/>
  <c r="K36" i="6"/>
  <c r="E36" i="6"/>
  <c r="D36" i="6"/>
  <c r="C36" i="6"/>
  <c r="A36" i="6"/>
  <c r="K35" i="6"/>
  <c r="E35" i="6"/>
  <c r="D35" i="6"/>
  <c r="C35" i="6"/>
  <c r="A35" i="6"/>
  <c r="K34" i="6"/>
  <c r="E34" i="6"/>
  <c r="D34" i="6"/>
  <c r="C34" i="6"/>
  <c r="A34" i="6"/>
  <c r="K33" i="6"/>
  <c r="E33" i="6"/>
  <c r="D33" i="6"/>
  <c r="C33" i="6"/>
  <c r="A33" i="6"/>
  <c r="K32" i="6"/>
  <c r="E32" i="6"/>
  <c r="D32" i="6"/>
  <c r="C32" i="6"/>
  <c r="A32" i="6"/>
  <c r="K31" i="6"/>
  <c r="E31" i="6"/>
  <c r="D31" i="6"/>
  <c r="C31" i="6"/>
  <c r="A31" i="6"/>
  <c r="K30" i="6"/>
  <c r="E30" i="6"/>
  <c r="D30" i="6"/>
  <c r="C30" i="6"/>
  <c r="A30" i="6"/>
  <c r="K29" i="6"/>
  <c r="E29" i="6"/>
  <c r="D29" i="6"/>
  <c r="C29" i="6"/>
  <c r="A29" i="6"/>
  <c r="K28" i="6"/>
  <c r="E28" i="6"/>
  <c r="D28" i="6"/>
  <c r="C28" i="6"/>
  <c r="A28" i="6"/>
  <c r="K27" i="6"/>
  <c r="E27" i="6"/>
  <c r="D27" i="6"/>
  <c r="C27" i="6"/>
  <c r="A27" i="6"/>
  <c r="K26" i="6"/>
  <c r="E26" i="6"/>
  <c r="D26" i="6"/>
  <c r="C26" i="6"/>
  <c r="A26" i="6"/>
  <c r="K25" i="6"/>
  <c r="E25" i="6"/>
  <c r="D25" i="6"/>
  <c r="C25" i="6"/>
  <c r="A25" i="6"/>
  <c r="K24" i="6"/>
  <c r="E24" i="6"/>
  <c r="D24" i="6"/>
  <c r="C24" i="6"/>
  <c r="A24" i="6"/>
  <c r="K23" i="6"/>
  <c r="E23" i="6"/>
  <c r="D23" i="6"/>
  <c r="C23" i="6"/>
  <c r="A23" i="6"/>
  <c r="K22" i="6"/>
  <c r="E22" i="6"/>
  <c r="D22" i="6"/>
  <c r="C22" i="6"/>
  <c r="A22" i="6"/>
  <c r="K21" i="6"/>
  <c r="E21" i="6"/>
  <c r="D21" i="6"/>
  <c r="C21" i="6"/>
  <c r="A21" i="6"/>
  <c r="K20" i="6"/>
  <c r="E20" i="6"/>
  <c r="D20" i="6"/>
  <c r="C20" i="6"/>
  <c r="A20" i="6"/>
  <c r="K19" i="6"/>
  <c r="E19" i="6"/>
  <c r="D19" i="6"/>
  <c r="C19" i="6"/>
  <c r="A19" i="6"/>
  <c r="K18" i="6"/>
  <c r="E18" i="6"/>
  <c r="D18" i="6"/>
  <c r="C18" i="6"/>
  <c r="A18" i="6"/>
  <c r="K17" i="6"/>
  <c r="E17" i="6"/>
  <c r="D17" i="6"/>
  <c r="C17" i="6"/>
  <c r="A17" i="6"/>
  <c r="K16" i="6"/>
  <c r="E16" i="6"/>
  <c r="D16" i="6"/>
  <c r="C16" i="6"/>
  <c r="A16" i="6"/>
  <c r="K15" i="6"/>
  <c r="E15" i="6"/>
  <c r="D15" i="6"/>
  <c r="C15" i="6"/>
  <c r="A15" i="6"/>
  <c r="K14" i="6"/>
  <c r="E14" i="6"/>
  <c r="D14" i="6"/>
  <c r="C14" i="6"/>
  <c r="A14" i="6"/>
  <c r="K13" i="6"/>
  <c r="E13" i="6"/>
  <c r="D13" i="6"/>
  <c r="C13" i="6"/>
  <c r="A13" i="6"/>
  <c r="K12" i="6"/>
  <c r="E12" i="6"/>
  <c r="D12" i="6"/>
  <c r="C12" i="6"/>
  <c r="A12" i="6"/>
  <c r="K11" i="6"/>
  <c r="E11" i="6"/>
  <c r="D11" i="6"/>
  <c r="C11" i="6"/>
  <c r="A11" i="6"/>
  <c r="K10" i="6"/>
  <c r="E10" i="6"/>
  <c r="D10" i="6"/>
  <c r="C10" i="6"/>
  <c r="A10" i="6"/>
  <c r="K9" i="6"/>
  <c r="E9" i="6"/>
  <c r="D9" i="6"/>
  <c r="C9" i="6"/>
  <c r="A9" i="6"/>
  <c r="K8" i="6"/>
  <c r="E8" i="6"/>
  <c r="D8" i="6"/>
  <c r="C8" i="6"/>
  <c r="A8" i="6"/>
  <c r="K7" i="6"/>
  <c r="E7" i="6"/>
  <c r="D7" i="6"/>
  <c r="C7" i="6"/>
  <c r="A7" i="6"/>
  <c r="K6" i="6"/>
  <c r="E6" i="6"/>
  <c r="D6" i="6"/>
  <c r="C6" i="6"/>
  <c r="A6" i="6"/>
  <c r="K5" i="6"/>
  <c r="E5" i="6"/>
  <c r="D5" i="6"/>
  <c r="C5" i="6"/>
  <c r="A5" i="6"/>
  <c r="K4" i="6"/>
  <c r="E4" i="6"/>
  <c r="D4" i="6"/>
  <c r="C4" i="6"/>
  <c r="A4" i="6"/>
  <c r="K3" i="6"/>
  <c r="E3" i="6"/>
  <c r="D3" i="6"/>
  <c r="C3" i="6"/>
  <c r="A3" i="6"/>
  <c r="K2" i="6"/>
  <c r="E2" i="6"/>
  <c r="D2" i="6"/>
  <c r="C2" i="6"/>
  <c r="A2" i="6"/>
  <c r="E151" i="5"/>
  <c r="F151" i="5" s="1"/>
  <c r="G151" i="5" s="1"/>
  <c r="B151" i="6" s="1"/>
  <c r="F151" i="6" s="1"/>
  <c r="G151" i="6" s="1"/>
  <c r="E150" i="5"/>
  <c r="E149" i="5"/>
  <c r="F149" i="5" s="1"/>
  <c r="G149" i="5" s="1"/>
  <c r="B149" i="6" s="1"/>
  <c r="F149" i="6" s="1"/>
  <c r="G149" i="6" s="1"/>
  <c r="E148" i="5"/>
  <c r="F148" i="5" s="1"/>
  <c r="G148" i="5" s="1"/>
  <c r="B148" i="6" s="1"/>
  <c r="F148" i="6" s="1"/>
  <c r="G148" i="6" s="1"/>
  <c r="E147" i="5"/>
  <c r="F147" i="5" s="1"/>
  <c r="G147" i="5" s="1"/>
  <c r="B147" i="6" s="1"/>
  <c r="F147" i="6" s="1"/>
  <c r="G147" i="6" s="1"/>
  <c r="E146" i="5"/>
  <c r="E145" i="5"/>
  <c r="F145" i="5" s="1"/>
  <c r="G145" i="5" s="1"/>
  <c r="B145" i="6" s="1"/>
  <c r="F145" i="6" s="1"/>
  <c r="G145" i="6" s="1"/>
  <c r="E144" i="5"/>
  <c r="F144" i="5" s="1"/>
  <c r="G144" i="5" s="1"/>
  <c r="B144" i="6" s="1"/>
  <c r="F144" i="6" s="1"/>
  <c r="G144" i="6" s="1"/>
  <c r="E143" i="5"/>
  <c r="F143" i="5" s="1"/>
  <c r="G143" i="5" s="1"/>
  <c r="B143" i="6" s="1"/>
  <c r="F143" i="6" s="1"/>
  <c r="G143" i="6" s="1"/>
  <c r="E142" i="5"/>
  <c r="F142" i="5" s="1"/>
  <c r="G142" i="5" s="1"/>
  <c r="B142" i="6" s="1"/>
  <c r="F142" i="6" s="1"/>
  <c r="G142" i="6" s="1"/>
  <c r="E141" i="5"/>
  <c r="F141" i="5" s="1"/>
  <c r="G141" i="5" s="1"/>
  <c r="B141" i="6" s="1"/>
  <c r="F141" i="6" s="1"/>
  <c r="G141" i="6" s="1"/>
  <c r="E140" i="5"/>
  <c r="F140" i="5" s="1"/>
  <c r="G140" i="5" s="1"/>
  <c r="B140" i="6" s="1"/>
  <c r="F140" i="6" s="1"/>
  <c r="G140" i="6" s="1"/>
  <c r="E139" i="5"/>
  <c r="F139" i="5" s="1"/>
  <c r="G139" i="5" s="1"/>
  <c r="B139" i="6" s="1"/>
  <c r="F139" i="6" s="1"/>
  <c r="G139" i="6" s="1"/>
  <c r="E138" i="5"/>
  <c r="F138" i="5" s="1"/>
  <c r="G138" i="5" s="1"/>
  <c r="B138" i="6" s="1"/>
  <c r="F138" i="6" s="1"/>
  <c r="G138" i="6" s="1"/>
  <c r="E137" i="5"/>
  <c r="F137" i="5" s="1"/>
  <c r="G137" i="5" s="1"/>
  <c r="B137" i="6" s="1"/>
  <c r="F137" i="6" s="1"/>
  <c r="G137" i="6" s="1"/>
  <c r="E136" i="5"/>
  <c r="F136" i="5" s="1"/>
  <c r="G136" i="5" s="1"/>
  <c r="B136" i="6" s="1"/>
  <c r="F136" i="6" s="1"/>
  <c r="G136" i="6" s="1"/>
  <c r="E135" i="5"/>
  <c r="F135" i="5" s="1"/>
  <c r="G135" i="5" s="1"/>
  <c r="B135" i="6" s="1"/>
  <c r="F135" i="6" s="1"/>
  <c r="G135" i="6" s="1"/>
  <c r="E134" i="5"/>
  <c r="F134" i="5" s="1"/>
  <c r="G134" i="5" s="1"/>
  <c r="B134" i="6" s="1"/>
  <c r="F134" i="6" s="1"/>
  <c r="G134" i="6" s="1"/>
  <c r="E133" i="5"/>
  <c r="F133" i="5" s="1"/>
  <c r="G133" i="5" s="1"/>
  <c r="B133" i="6" s="1"/>
  <c r="F133" i="6" s="1"/>
  <c r="G133" i="6" s="1"/>
  <c r="E132" i="5"/>
  <c r="E131" i="5"/>
  <c r="F131" i="5" s="1"/>
  <c r="G131" i="5" s="1"/>
  <c r="B131" i="6" s="1"/>
  <c r="F131" i="6" s="1"/>
  <c r="G131" i="6" s="1"/>
  <c r="E130" i="5"/>
  <c r="F130" i="5" s="1"/>
  <c r="G130" i="5" s="1"/>
  <c r="B130" i="6" s="1"/>
  <c r="F130" i="6" s="1"/>
  <c r="G130" i="6" s="1"/>
  <c r="E129" i="5"/>
  <c r="F129" i="5" s="1"/>
  <c r="G129" i="5" s="1"/>
  <c r="B129" i="6" s="1"/>
  <c r="F129" i="6" s="1"/>
  <c r="G129" i="6" s="1"/>
  <c r="E128" i="5"/>
  <c r="F128" i="5" s="1"/>
  <c r="G128" i="5" s="1"/>
  <c r="B128" i="6" s="1"/>
  <c r="F128" i="6" s="1"/>
  <c r="G128" i="6" s="1"/>
  <c r="E127" i="5"/>
  <c r="F127" i="5" s="1"/>
  <c r="G127" i="5" s="1"/>
  <c r="B127" i="6" s="1"/>
  <c r="F127" i="6" s="1"/>
  <c r="G127" i="6" s="1"/>
  <c r="E126" i="5"/>
  <c r="F126" i="5" s="1"/>
  <c r="G126" i="5" s="1"/>
  <c r="B126" i="6" s="1"/>
  <c r="F126" i="6" s="1"/>
  <c r="G126" i="6" s="1"/>
  <c r="E125" i="5"/>
  <c r="F125" i="5" s="1"/>
  <c r="G125" i="5" s="1"/>
  <c r="B125" i="6" s="1"/>
  <c r="F125" i="6" s="1"/>
  <c r="G125" i="6" s="1"/>
  <c r="E124" i="5"/>
  <c r="F124" i="5" s="1"/>
  <c r="G124" i="5" s="1"/>
  <c r="B124" i="6" s="1"/>
  <c r="F124" i="6" s="1"/>
  <c r="G124" i="6" s="1"/>
  <c r="E123" i="5"/>
  <c r="F123" i="5" s="1"/>
  <c r="G123" i="5" s="1"/>
  <c r="B123" i="6" s="1"/>
  <c r="F123" i="6" s="1"/>
  <c r="G123" i="6" s="1"/>
  <c r="E122" i="5"/>
  <c r="E121" i="5"/>
  <c r="F121" i="5" s="1"/>
  <c r="G121" i="5" s="1"/>
  <c r="B121" i="6" s="1"/>
  <c r="F121" i="6" s="1"/>
  <c r="G121" i="6" s="1"/>
  <c r="E120" i="5"/>
  <c r="F120" i="5" s="1"/>
  <c r="G120" i="5" s="1"/>
  <c r="B120" i="6" s="1"/>
  <c r="F120" i="6" s="1"/>
  <c r="G120" i="6" s="1"/>
  <c r="E119" i="5"/>
  <c r="F119" i="5" s="1"/>
  <c r="G119" i="5" s="1"/>
  <c r="B119" i="6" s="1"/>
  <c r="F119" i="6" s="1"/>
  <c r="G119" i="6" s="1"/>
  <c r="E118" i="5"/>
  <c r="F118" i="5" s="1"/>
  <c r="G118" i="5" s="1"/>
  <c r="B118" i="6" s="1"/>
  <c r="F118" i="6" s="1"/>
  <c r="G118" i="6" s="1"/>
  <c r="E117" i="5"/>
  <c r="E116" i="5"/>
  <c r="F116" i="5" s="1"/>
  <c r="G116" i="5" s="1"/>
  <c r="B116" i="6" s="1"/>
  <c r="F116" i="6" s="1"/>
  <c r="G116" i="6" s="1"/>
  <c r="E115" i="5"/>
  <c r="F115" i="5" s="1"/>
  <c r="G115" i="5" s="1"/>
  <c r="B115" i="6" s="1"/>
  <c r="F115" i="6" s="1"/>
  <c r="G115" i="6" s="1"/>
  <c r="E114" i="5"/>
  <c r="F114" i="5" s="1"/>
  <c r="G114" i="5" s="1"/>
  <c r="B114" i="6" s="1"/>
  <c r="F114" i="6" s="1"/>
  <c r="G114" i="6" s="1"/>
  <c r="E113" i="5"/>
  <c r="F113" i="5" s="1"/>
  <c r="G113" i="5" s="1"/>
  <c r="B113" i="6" s="1"/>
  <c r="F113" i="6" s="1"/>
  <c r="G113" i="6" s="1"/>
  <c r="E112" i="5"/>
  <c r="F112" i="5" s="1"/>
  <c r="G112" i="5" s="1"/>
  <c r="B112" i="6" s="1"/>
  <c r="F112" i="6" s="1"/>
  <c r="G112" i="6" s="1"/>
  <c r="E111" i="5"/>
  <c r="E110" i="5"/>
  <c r="F110" i="5" s="1"/>
  <c r="G110" i="5" s="1"/>
  <c r="B110" i="6" s="1"/>
  <c r="F110" i="6" s="1"/>
  <c r="G110" i="6" s="1"/>
  <c r="E109" i="5"/>
  <c r="F109" i="5" s="1"/>
  <c r="G109" i="5" s="1"/>
  <c r="B109" i="6" s="1"/>
  <c r="F109" i="6" s="1"/>
  <c r="G109" i="6" s="1"/>
  <c r="E108" i="5"/>
  <c r="F108" i="5" s="1"/>
  <c r="G108" i="5" s="1"/>
  <c r="B108" i="6" s="1"/>
  <c r="F108" i="6" s="1"/>
  <c r="G108" i="6" s="1"/>
  <c r="E107" i="5"/>
  <c r="F107" i="5" s="1"/>
  <c r="G107" i="5" s="1"/>
  <c r="B107" i="6" s="1"/>
  <c r="F107" i="6" s="1"/>
  <c r="G107" i="6" s="1"/>
  <c r="E106" i="5"/>
  <c r="F106" i="5" s="1"/>
  <c r="G106" i="5" s="1"/>
  <c r="B106" i="6" s="1"/>
  <c r="F106" i="6" s="1"/>
  <c r="G106" i="6" s="1"/>
  <c r="E105" i="5"/>
  <c r="F105" i="5" s="1"/>
  <c r="G105" i="5" s="1"/>
  <c r="B105" i="6" s="1"/>
  <c r="F105" i="6" s="1"/>
  <c r="G105" i="6" s="1"/>
  <c r="E104" i="5"/>
  <c r="F104" i="5" s="1"/>
  <c r="G104" i="5" s="1"/>
  <c r="B104" i="6" s="1"/>
  <c r="F104" i="6" s="1"/>
  <c r="G104" i="6" s="1"/>
  <c r="E103" i="5"/>
  <c r="E102" i="5"/>
  <c r="F102" i="5" s="1"/>
  <c r="G102" i="5" s="1"/>
  <c r="B102" i="6" s="1"/>
  <c r="F102" i="6" s="1"/>
  <c r="G102" i="6" s="1"/>
  <c r="E101" i="5"/>
  <c r="F101" i="5" s="1"/>
  <c r="G101" i="5" s="1"/>
  <c r="B101" i="6" s="1"/>
  <c r="F101" i="6" s="1"/>
  <c r="G101" i="6" s="1"/>
  <c r="E100" i="5"/>
  <c r="F100" i="5" s="1"/>
  <c r="G100" i="5" s="1"/>
  <c r="B100" i="6" s="1"/>
  <c r="F100" i="6" s="1"/>
  <c r="G100" i="6" s="1"/>
  <c r="E99" i="5"/>
  <c r="F99" i="5" s="1"/>
  <c r="G99" i="5" s="1"/>
  <c r="B99" i="6" s="1"/>
  <c r="F99" i="6" s="1"/>
  <c r="G99" i="6" s="1"/>
  <c r="E98" i="5"/>
  <c r="F98" i="5" s="1"/>
  <c r="G98" i="5" s="1"/>
  <c r="B98" i="6" s="1"/>
  <c r="F98" i="6" s="1"/>
  <c r="G98" i="6" s="1"/>
  <c r="E97" i="5"/>
  <c r="F97" i="5" s="1"/>
  <c r="G97" i="5" s="1"/>
  <c r="B97" i="6" s="1"/>
  <c r="F97" i="6" s="1"/>
  <c r="G97" i="6" s="1"/>
  <c r="E96" i="5"/>
  <c r="E95" i="5"/>
  <c r="E94" i="5"/>
  <c r="F94" i="5" s="1"/>
  <c r="G94" i="5" s="1"/>
  <c r="B94" i="6" s="1"/>
  <c r="F94" i="6" s="1"/>
  <c r="G94" i="6" s="1"/>
  <c r="E93" i="5"/>
  <c r="F93" i="5" s="1"/>
  <c r="G93" i="5" s="1"/>
  <c r="B93" i="6" s="1"/>
  <c r="F93" i="6" s="1"/>
  <c r="G93" i="6" s="1"/>
  <c r="E92" i="5"/>
  <c r="E91" i="5"/>
  <c r="F91" i="5" s="1"/>
  <c r="G91" i="5" s="1"/>
  <c r="B91" i="6" s="1"/>
  <c r="F91" i="6" s="1"/>
  <c r="G91" i="6" s="1"/>
  <c r="E90" i="5"/>
  <c r="F90" i="5" s="1"/>
  <c r="G90" i="5" s="1"/>
  <c r="B90" i="6" s="1"/>
  <c r="F90" i="6" s="1"/>
  <c r="G90" i="6" s="1"/>
  <c r="E89" i="5"/>
  <c r="F89" i="5" s="1"/>
  <c r="G89" i="5" s="1"/>
  <c r="B89" i="6" s="1"/>
  <c r="F89" i="6" s="1"/>
  <c r="G89" i="6" s="1"/>
  <c r="E88" i="5"/>
  <c r="F88" i="5" s="1"/>
  <c r="G88" i="5" s="1"/>
  <c r="B88" i="6" s="1"/>
  <c r="F88" i="6" s="1"/>
  <c r="G88" i="6" s="1"/>
  <c r="E87" i="5"/>
  <c r="F87" i="5" s="1"/>
  <c r="G87" i="5" s="1"/>
  <c r="B87" i="6" s="1"/>
  <c r="F87" i="6" s="1"/>
  <c r="G87" i="6" s="1"/>
  <c r="E86" i="5"/>
  <c r="F86" i="5" s="1"/>
  <c r="G86" i="5" s="1"/>
  <c r="B86" i="6" s="1"/>
  <c r="F86" i="6" s="1"/>
  <c r="G86" i="6" s="1"/>
  <c r="E85" i="5"/>
  <c r="F85" i="5" s="1"/>
  <c r="G85" i="5" s="1"/>
  <c r="B85" i="6" s="1"/>
  <c r="F85" i="6" s="1"/>
  <c r="G85" i="6" s="1"/>
  <c r="E84" i="5"/>
  <c r="F84" i="5" s="1"/>
  <c r="G84" i="5" s="1"/>
  <c r="B84" i="6" s="1"/>
  <c r="F84" i="6" s="1"/>
  <c r="G84" i="6" s="1"/>
  <c r="E83" i="5"/>
  <c r="F83" i="5" s="1"/>
  <c r="G83" i="5" s="1"/>
  <c r="B83" i="6" s="1"/>
  <c r="F83" i="6" s="1"/>
  <c r="G83" i="6" s="1"/>
  <c r="E82" i="5"/>
  <c r="F82" i="5" s="1"/>
  <c r="G82" i="5" s="1"/>
  <c r="B82" i="6" s="1"/>
  <c r="F82" i="6" s="1"/>
  <c r="G82" i="6" s="1"/>
  <c r="E81" i="5"/>
  <c r="F81" i="5" s="1"/>
  <c r="G81" i="5" s="1"/>
  <c r="B81" i="6" s="1"/>
  <c r="F81" i="6" s="1"/>
  <c r="G81" i="6" s="1"/>
  <c r="E80" i="5"/>
  <c r="E79" i="5"/>
  <c r="F79" i="5" s="1"/>
  <c r="G79" i="5" s="1"/>
  <c r="B79" i="6" s="1"/>
  <c r="F79" i="6" s="1"/>
  <c r="G79" i="6" s="1"/>
  <c r="E78" i="5"/>
  <c r="F78" i="5" s="1"/>
  <c r="G78" i="5" s="1"/>
  <c r="B78" i="6" s="1"/>
  <c r="F78" i="6" s="1"/>
  <c r="G78" i="6" s="1"/>
  <c r="E77" i="5"/>
  <c r="E76" i="5"/>
  <c r="F76" i="5" s="1"/>
  <c r="G76" i="5" s="1"/>
  <c r="B76" i="6" s="1"/>
  <c r="F76" i="6" s="1"/>
  <c r="G76" i="6" s="1"/>
  <c r="E75" i="5"/>
  <c r="F75" i="5" s="1"/>
  <c r="G75" i="5" s="1"/>
  <c r="B75" i="6" s="1"/>
  <c r="F75" i="6" s="1"/>
  <c r="G75" i="6" s="1"/>
  <c r="E74" i="5"/>
  <c r="F74" i="5" s="1"/>
  <c r="G74" i="5" s="1"/>
  <c r="B74" i="6" s="1"/>
  <c r="F74" i="6" s="1"/>
  <c r="G74" i="6" s="1"/>
  <c r="E73" i="5"/>
  <c r="F73" i="5" s="1"/>
  <c r="G73" i="5" s="1"/>
  <c r="B73" i="6" s="1"/>
  <c r="F73" i="6" s="1"/>
  <c r="G73" i="6" s="1"/>
  <c r="E72" i="5"/>
  <c r="F72" i="5" s="1"/>
  <c r="G72" i="5" s="1"/>
  <c r="B72" i="6" s="1"/>
  <c r="F72" i="6" s="1"/>
  <c r="G72" i="6" s="1"/>
  <c r="E71" i="5"/>
  <c r="E70" i="5"/>
  <c r="E69" i="5"/>
  <c r="F69" i="5" s="1"/>
  <c r="G69" i="5" s="1"/>
  <c r="B69" i="6" s="1"/>
  <c r="F69" i="6" s="1"/>
  <c r="G69" i="6" s="1"/>
  <c r="E68" i="5"/>
  <c r="F68" i="5" s="1"/>
  <c r="G68" i="5" s="1"/>
  <c r="B68" i="6" s="1"/>
  <c r="F68" i="6" s="1"/>
  <c r="G68" i="6" s="1"/>
  <c r="E67" i="5"/>
  <c r="F67" i="5" s="1"/>
  <c r="G67" i="5" s="1"/>
  <c r="B67" i="6" s="1"/>
  <c r="F67" i="6" s="1"/>
  <c r="G67" i="6" s="1"/>
  <c r="E66" i="5"/>
  <c r="F66" i="5" s="1"/>
  <c r="G66" i="5" s="1"/>
  <c r="B66" i="6" s="1"/>
  <c r="F66" i="6" s="1"/>
  <c r="G66" i="6" s="1"/>
  <c r="E65" i="5"/>
  <c r="F65" i="5" s="1"/>
  <c r="G65" i="5" s="1"/>
  <c r="B65" i="6" s="1"/>
  <c r="F65" i="6" s="1"/>
  <c r="G65" i="6" s="1"/>
  <c r="E64" i="5"/>
  <c r="F64" i="5" s="1"/>
  <c r="G64" i="5" s="1"/>
  <c r="B64" i="6" s="1"/>
  <c r="F64" i="6" s="1"/>
  <c r="G64" i="6" s="1"/>
  <c r="E63" i="5"/>
  <c r="F63" i="5" s="1"/>
  <c r="G63" i="5" s="1"/>
  <c r="B63" i="6" s="1"/>
  <c r="F63" i="6" s="1"/>
  <c r="G63" i="6" s="1"/>
  <c r="E62" i="5"/>
  <c r="F62" i="5" s="1"/>
  <c r="G62" i="5" s="1"/>
  <c r="B62" i="6" s="1"/>
  <c r="F62" i="6" s="1"/>
  <c r="G62" i="6" s="1"/>
  <c r="E61" i="5"/>
  <c r="E60" i="5"/>
  <c r="F60" i="5" s="1"/>
  <c r="G60" i="5" s="1"/>
  <c r="B60" i="6" s="1"/>
  <c r="F60" i="6" s="1"/>
  <c r="G60" i="6" s="1"/>
  <c r="E59" i="5"/>
  <c r="F59" i="5" s="1"/>
  <c r="G59" i="5" s="1"/>
  <c r="B59" i="6" s="1"/>
  <c r="F59" i="6" s="1"/>
  <c r="G59" i="6" s="1"/>
  <c r="E58" i="5"/>
  <c r="F58" i="5" s="1"/>
  <c r="G58" i="5" s="1"/>
  <c r="B58" i="6" s="1"/>
  <c r="F58" i="6" s="1"/>
  <c r="G58" i="6" s="1"/>
  <c r="E57" i="5"/>
  <c r="E56" i="5"/>
  <c r="F56" i="5" s="1"/>
  <c r="G56" i="5" s="1"/>
  <c r="B56" i="6" s="1"/>
  <c r="F56" i="6" s="1"/>
  <c r="G56" i="6" s="1"/>
  <c r="E55" i="5"/>
  <c r="F55" i="5" s="1"/>
  <c r="G55" i="5" s="1"/>
  <c r="B55" i="6" s="1"/>
  <c r="F55" i="6" s="1"/>
  <c r="G55" i="6" s="1"/>
  <c r="E54" i="5"/>
  <c r="F54" i="5" s="1"/>
  <c r="G54" i="5" s="1"/>
  <c r="B54" i="6" s="1"/>
  <c r="F54" i="6" s="1"/>
  <c r="G54" i="6" s="1"/>
  <c r="E53" i="5"/>
  <c r="F53" i="5" s="1"/>
  <c r="G53" i="5" s="1"/>
  <c r="B53" i="6" s="1"/>
  <c r="F53" i="6" s="1"/>
  <c r="G53" i="6" s="1"/>
  <c r="E52" i="5"/>
  <c r="F52" i="5" s="1"/>
  <c r="G52" i="5" s="1"/>
  <c r="B52" i="6" s="1"/>
  <c r="F52" i="6" s="1"/>
  <c r="G52" i="6" s="1"/>
  <c r="E51" i="5"/>
  <c r="F51" i="5" s="1"/>
  <c r="G51" i="5" s="1"/>
  <c r="B51" i="6" s="1"/>
  <c r="F51" i="6" s="1"/>
  <c r="G51" i="6" s="1"/>
  <c r="E50" i="5"/>
  <c r="F50" i="5" s="1"/>
  <c r="G50" i="5" s="1"/>
  <c r="B50" i="6" s="1"/>
  <c r="F50" i="6" s="1"/>
  <c r="G50" i="6" s="1"/>
  <c r="E49" i="5"/>
  <c r="F49" i="5" s="1"/>
  <c r="G49" i="5" s="1"/>
  <c r="B49" i="6" s="1"/>
  <c r="F49" i="6" s="1"/>
  <c r="G49" i="6" s="1"/>
  <c r="E48" i="5"/>
  <c r="F48" i="5" s="1"/>
  <c r="G48" i="5" s="1"/>
  <c r="B48" i="6" s="1"/>
  <c r="F48" i="6" s="1"/>
  <c r="G48" i="6" s="1"/>
  <c r="E47" i="5"/>
  <c r="F47" i="5" s="1"/>
  <c r="G47" i="5" s="1"/>
  <c r="B47" i="6" s="1"/>
  <c r="F47" i="6" s="1"/>
  <c r="G47" i="6" s="1"/>
  <c r="E46" i="5"/>
  <c r="F46" i="5" s="1"/>
  <c r="G46" i="5" s="1"/>
  <c r="B46" i="6" s="1"/>
  <c r="F46" i="6" s="1"/>
  <c r="G46" i="6" s="1"/>
  <c r="E45" i="5"/>
  <c r="F45" i="5" s="1"/>
  <c r="G45" i="5" s="1"/>
  <c r="B45" i="6" s="1"/>
  <c r="F45" i="6" s="1"/>
  <c r="G45" i="6" s="1"/>
  <c r="E44" i="5"/>
  <c r="F44" i="5" s="1"/>
  <c r="G44" i="5" s="1"/>
  <c r="B44" i="6" s="1"/>
  <c r="F44" i="6" s="1"/>
  <c r="G44" i="6" s="1"/>
  <c r="E43" i="5"/>
  <c r="F43" i="5" s="1"/>
  <c r="G43" i="5" s="1"/>
  <c r="B43" i="6" s="1"/>
  <c r="F43" i="6" s="1"/>
  <c r="G43" i="6" s="1"/>
  <c r="E42" i="5"/>
  <c r="F42" i="5" s="1"/>
  <c r="G42" i="5" s="1"/>
  <c r="B42" i="6" s="1"/>
  <c r="F42" i="6" s="1"/>
  <c r="G42" i="6" s="1"/>
  <c r="E41" i="5"/>
  <c r="F41" i="5" s="1"/>
  <c r="G41" i="5" s="1"/>
  <c r="B41" i="6" s="1"/>
  <c r="F41" i="6" s="1"/>
  <c r="G41" i="6" s="1"/>
  <c r="E40" i="5"/>
  <c r="F40" i="5" s="1"/>
  <c r="G40" i="5" s="1"/>
  <c r="B40" i="6" s="1"/>
  <c r="F40" i="6" s="1"/>
  <c r="G40" i="6" s="1"/>
  <c r="E39" i="5"/>
  <c r="F39" i="5" s="1"/>
  <c r="G39" i="5" s="1"/>
  <c r="B39" i="6" s="1"/>
  <c r="F39" i="6" s="1"/>
  <c r="G39" i="6" s="1"/>
  <c r="E38" i="5"/>
  <c r="F38" i="5" s="1"/>
  <c r="G38" i="5" s="1"/>
  <c r="B38" i="6" s="1"/>
  <c r="F38" i="6" s="1"/>
  <c r="G38" i="6" s="1"/>
  <c r="E37" i="5"/>
  <c r="F37" i="5" s="1"/>
  <c r="G37" i="5" s="1"/>
  <c r="B37" i="6" s="1"/>
  <c r="F37" i="6" s="1"/>
  <c r="G37" i="6" s="1"/>
  <c r="E36" i="5"/>
  <c r="F36" i="5" s="1"/>
  <c r="G36" i="5" s="1"/>
  <c r="B36" i="6" s="1"/>
  <c r="F36" i="6" s="1"/>
  <c r="G36" i="6" s="1"/>
  <c r="E35" i="5"/>
  <c r="F35" i="5" s="1"/>
  <c r="G35" i="5" s="1"/>
  <c r="B35" i="6" s="1"/>
  <c r="F35" i="6" s="1"/>
  <c r="G35" i="6" s="1"/>
  <c r="E34" i="5"/>
  <c r="F34" i="5" s="1"/>
  <c r="G34" i="5" s="1"/>
  <c r="B34" i="6" s="1"/>
  <c r="F34" i="6" s="1"/>
  <c r="G34" i="6" s="1"/>
  <c r="E33" i="5"/>
  <c r="F33" i="5" s="1"/>
  <c r="G33" i="5" s="1"/>
  <c r="B33" i="6" s="1"/>
  <c r="F33" i="6" s="1"/>
  <c r="G33" i="6" s="1"/>
  <c r="E32" i="5"/>
  <c r="F32" i="5" s="1"/>
  <c r="G32" i="5" s="1"/>
  <c r="B32" i="6" s="1"/>
  <c r="F32" i="6" s="1"/>
  <c r="G32" i="6" s="1"/>
  <c r="E31" i="5"/>
  <c r="F31" i="5" s="1"/>
  <c r="G31" i="5" s="1"/>
  <c r="B31" i="6" s="1"/>
  <c r="F31" i="6" s="1"/>
  <c r="G31" i="6" s="1"/>
  <c r="E30" i="5"/>
  <c r="F30" i="5" s="1"/>
  <c r="G30" i="5" s="1"/>
  <c r="B30" i="6" s="1"/>
  <c r="F30" i="6" s="1"/>
  <c r="G30" i="6" s="1"/>
  <c r="E29" i="5"/>
  <c r="F29" i="5" s="1"/>
  <c r="G29" i="5" s="1"/>
  <c r="B29" i="6" s="1"/>
  <c r="F29" i="6" s="1"/>
  <c r="G29" i="6" s="1"/>
  <c r="E28" i="5"/>
  <c r="F28" i="5" s="1"/>
  <c r="G28" i="5" s="1"/>
  <c r="B28" i="6" s="1"/>
  <c r="F28" i="6" s="1"/>
  <c r="G28" i="6" s="1"/>
  <c r="E27" i="5"/>
  <c r="F27" i="5" s="1"/>
  <c r="G27" i="5" s="1"/>
  <c r="B27" i="6" s="1"/>
  <c r="F27" i="6" s="1"/>
  <c r="G27" i="6" s="1"/>
  <c r="E26" i="5"/>
  <c r="F26" i="5" s="1"/>
  <c r="G26" i="5" s="1"/>
  <c r="B26" i="6" s="1"/>
  <c r="F26" i="6" s="1"/>
  <c r="G26" i="6" s="1"/>
  <c r="E25" i="5"/>
  <c r="F25" i="5" s="1"/>
  <c r="G25" i="5" s="1"/>
  <c r="B25" i="6" s="1"/>
  <c r="F25" i="6" s="1"/>
  <c r="G25" i="6" s="1"/>
  <c r="E24" i="5"/>
  <c r="F24" i="5" s="1"/>
  <c r="G24" i="5" s="1"/>
  <c r="B24" i="6" s="1"/>
  <c r="F24" i="6" s="1"/>
  <c r="G24" i="6" s="1"/>
  <c r="E23" i="5"/>
  <c r="E22" i="5"/>
  <c r="E21" i="5"/>
  <c r="F21" i="5" s="1"/>
  <c r="G21" i="5" s="1"/>
  <c r="B21" i="6" s="1"/>
  <c r="F21" i="6" s="1"/>
  <c r="G21" i="6" s="1"/>
  <c r="E20" i="5"/>
  <c r="F20" i="5" s="1"/>
  <c r="G20" i="5" s="1"/>
  <c r="B20" i="6" s="1"/>
  <c r="F20" i="6" s="1"/>
  <c r="G20" i="6" s="1"/>
  <c r="E19" i="5"/>
  <c r="F19" i="5" s="1"/>
  <c r="G19" i="5" s="1"/>
  <c r="B19" i="6" s="1"/>
  <c r="F19" i="6" s="1"/>
  <c r="G19" i="6" s="1"/>
  <c r="E18" i="5"/>
  <c r="F18" i="5" s="1"/>
  <c r="G18" i="5" s="1"/>
  <c r="B18" i="6" s="1"/>
  <c r="F18" i="6" s="1"/>
  <c r="G18" i="6" s="1"/>
  <c r="E17" i="5"/>
  <c r="F17" i="5" s="1"/>
  <c r="G17" i="5" s="1"/>
  <c r="B17" i="6" s="1"/>
  <c r="F17" i="6" s="1"/>
  <c r="G17" i="6" s="1"/>
  <c r="E16" i="5"/>
  <c r="F16" i="5" s="1"/>
  <c r="G16" i="5" s="1"/>
  <c r="B16" i="6" s="1"/>
  <c r="F16" i="6" s="1"/>
  <c r="G16" i="6" s="1"/>
  <c r="E15" i="5"/>
  <c r="F15" i="5" s="1"/>
  <c r="G15" i="5" s="1"/>
  <c r="B15" i="6" s="1"/>
  <c r="F15" i="6" s="1"/>
  <c r="G15" i="6" s="1"/>
  <c r="E14" i="5"/>
  <c r="F14" i="5" s="1"/>
  <c r="G14" i="5" s="1"/>
  <c r="B14" i="6" s="1"/>
  <c r="F14" i="6" s="1"/>
  <c r="G14" i="6" s="1"/>
  <c r="E13" i="5"/>
  <c r="F13" i="5" s="1"/>
  <c r="G13" i="5" s="1"/>
  <c r="B13" i="6" s="1"/>
  <c r="F13" i="6" s="1"/>
  <c r="G13" i="6" s="1"/>
  <c r="E12" i="5"/>
  <c r="F12" i="5" s="1"/>
  <c r="G12" i="5" s="1"/>
  <c r="B12" i="6" s="1"/>
  <c r="F12" i="6" s="1"/>
  <c r="G12" i="6" s="1"/>
  <c r="E11" i="5"/>
  <c r="E10" i="5"/>
  <c r="F10" i="5" s="1"/>
  <c r="G10" i="5" s="1"/>
  <c r="B10" i="6" s="1"/>
  <c r="F10" i="6" s="1"/>
  <c r="G10" i="6" s="1"/>
  <c r="E9" i="5"/>
  <c r="F9" i="5" s="1"/>
  <c r="G9" i="5" s="1"/>
  <c r="B9" i="6" s="1"/>
  <c r="F9" i="6" s="1"/>
  <c r="G9" i="6" s="1"/>
  <c r="E8" i="5"/>
  <c r="F8" i="5" s="1"/>
  <c r="G8" i="5" s="1"/>
  <c r="B8" i="6" s="1"/>
  <c r="F8" i="6" s="1"/>
  <c r="G8" i="6" s="1"/>
  <c r="E7" i="5"/>
  <c r="F7" i="5" s="1"/>
  <c r="G7" i="5" s="1"/>
  <c r="B7" i="6" s="1"/>
  <c r="F7" i="6" s="1"/>
  <c r="G7" i="6" s="1"/>
  <c r="E6" i="5"/>
  <c r="F6" i="5" s="1"/>
  <c r="G6" i="5" s="1"/>
  <c r="B6" i="6" s="1"/>
  <c r="F6" i="6" s="1"/>
  <c r="G6" i="6" s="1"/>
  <c r="E5" i="5"/>
  <c r="F5" i="5" s="1"/>
  <c r="G5" i="5" s="1"/>
  <c r="B5" i="6" s="1"/>
  <c r="F5" i="6" s="1"/>
  <c r="G5" i="6" s="1"/>
  <c r="E4" i="5"/>
  <c r="E3" i="5"/>
  <c r="F3" i="5" s="1"/>
  <c r="G3" i="5" s="1"/>
  <c r="B3" i="6" s="1"/>
  <c r="F3" i="6" s="1"/>
  <c r="G3" i="6" s="1"/>
  <c r="E2" i="5"/>
  <c r="F32" i="2"/>
  <c r="F31" i="2"/>
  <c r="F30" i="2"/>
  <c r="F6" i="2"/>
  <c r="D6" i="2"/>
  <c r="F111" i="5" l="1"/>
  <c r="G111" i="5" s="1"/>
  <c r="B111" i="6" s="1"/>
  <c r="F111" i="6" s="1"/>
  <c r="G111" i="6" s="1"/>
  <c r="H111" i="6" s="1"/>
  <c r="F22" i="5"/>
  <c r="G22" i="5" s="1"/>
  <c r="B22" i="6" s="1"/>
  <c r="F22" i="6" s="1"/>
  <c r="G22" i="6" s="1"/>
  <c r="H22" i="6" s="1"/>
  <c r="F77" i="5"/>
  <c r="G77" i="5" s="1"/>
  <c r="B77" i="6" s="1"/>
  <c r="F77" i="6" s="1"/>
  <c r="G77" i="6" s="1"/>
  <c r="H77" i="6" s="1"/>
  <c r="F61" i="5"/>
  <c r="G61" i="5" s="1"/>
  <c r="B61" i="6" s="1"/>
  <c r="F61" i="6" s="1"/>
  <c r="G61" i="6" s="1"/>
  <c r="H61" i="6" s="1"/>
  <c r="F122" i="5"/>
  <c r="G122" i="5" s="1"/>
  <c r="B122" i="6" s="1"/>
  <c r="F122" i="6" s="1"/>
  <c r="G122" i="6" s="1"/>
  <c r="H122" i="6" s="1"/>
  <c r="F92" i="5"/>
  <c r="G92" i="5" s="1"/>
  <c r="B92" i="6" s="1"/>
  <c r="F92" i="6" s="1"/>
  <c r="G92" i="6" s="1"/>
  <c r="H92" i="6" s="1"/>
  <c r="F132" i="5"/>
  <c r="G132" i="5" s="1"/>
  <c r="B132" i="6" s="1"/>
  <c r="F132" i="6" s="1"/>
  <c r="G132" i="6" s="1"/>
  <c r="H132" i="6" s="1"/>
  <c r="F4" i="5"/>
  <c r="G4" i="5" s="1"/>
  <c r="B4" i="6" s="1"/>
  <c r="F4" i="6" s="1"/>
  <c r="G4" i="6" s="1"/>
  <c r="H4" i="6" s="1"/>
  <c r="F146" i="5"/>
  <c r="G146" i="5" s="1"/>
  <c r="B146" i="6" s="1"/>
  <c r="F146" i="6" s="1"/>
  <c r="G146" i="6" s="1"/>
  <c r="H146" i="6" s="1"/>
  <c r="F150" i="5"/>
  <c r="G150" i="5" s="1"/>
  <c r="B150" i="6" s="1"/>
  <c r="F150" i="6" s="1"/>
  <c r="G150" i="6" s="1"/>
  <c r="H150" i="6" s="1"/>
  <c r="F70" i="5"/>
  <c r="G70" i="5" s="1"/>
  <c r="B70" i="6" s="1"/>
  <c r="F70" i="6" s="1"/>
  <c r="G70" i="6" s="1"/>
  <c r="H70" i="6" s="1"/>
  <c r="F80" i="5"/>
  <c r="G80" i="5" s="1"/>
  <c r="B80" i="6" s="1"/>
  <c r="F80" i="6" s="1"/>
  <c r="G80" i="6" s="1"/>
  <c r="H80" i="6" s="1"/>
  <c r="F117" i="5"/>
  <c r="G117" i="5" s="1"/>
  <c r="B117" i="6" s="1"/>
  <c r="F117" i="6" s="1"/>
  <c r="G117" i="6" s="1"/>
  <c r="H117" i="6" s="1"/>
  <c r="F11" i="5"/>
  <c r="G11" i="5" s="1"/>
  <c r="B11" i="6" s="1"/>
  <c r="F11" i="6" s="1"/>
  <c r="G11" i="6" s="1"/>
  <c r="H11" i="6" s="1"/>
  <c r="F57" i="5"/>
  <c r="G57" i="5" s="1"/>
  <c r="B57" i="6" s="1"/>
  <c r="F57" i="6" s="1"/>
  <c r="G57" i="6" s="1"/>
  <c r="H57" i="6" s="1"/>
  <c r="F2" i="5"/>
  <c r="G2" i="5" s="1"/>
  <c r="F96" i="5"/>
  <c r="G96" i="5" s="1"/>
  <c r="B96" i="6" s="1"/>
  <c r="F96" i="6" s="1"/>
  <c r="G96" i="6" s="1"/>
  <c r="H96" i="6" s="1"/>
  <c r="F71" i="5"/>
  <c r="G71" i="5" s="1"/>
  <c r="B71" i="6" s="1"/>
  <c r="F71" i="6" s="1"/>
  <c r="G71" i="6" s="1"/>
  <c r="H71" i="6" s="1"/>
  <c r="F95" i="5"/>
  <c r="G95" i="5" s="1"/>
  <c r="B95" i="6" s="1"/>
  <c r="F95" i="6" s="1"/>
  <c r="G95" i="6" s="1"/>
  <c r="H95" i="6" s="1"/>
  <c r="F103" i="5"/>
  <c r="G103" i="5" s="1"/>
  <c r="B103" i="6" s="1"/>
  <c r="F103" i="6" s="1"/>
  <c r="G103" i="6" s="1"/>
  <c r="H103" i="6" s="1"/>
  <c r="F23" i="5"/>
  <c r="G23" i="5" s="1"/>
  <c r="B23" i="6" s="1"/>
  <c r="F23" i="6" s="1"/>
  <c r="G23" i="6" s="1"/>
  <c r="H23" i="6" s="1"/>
  <c r="H151" i="6"/>
  <c r="H149" i="6"/>
  <c r="H148" i="6"/>
  <c r="H147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1" i="6"/>
  <c r="H130" i="6"/>
  <c r="H129" i="6"/>
  <c r="H128" i="6"/>
  <c r="H127" i="6"/>
  <c r="H126" i="6"/>
  <c r="H125" i="6"/>
  <c r="H124" i="6"/>
  <c r="H123" i="6"/>
  <c r="H121" i="6"/>
  <c r="H120" i="6"/>
  <c r="H119" i="6"/>
  <c r="H118" i="6"/>
  <c r="H116" i="6"/>
  <c r="H115" i="6"/>
  <c r="H114" i="6"/>
  <c r="H113" i="6"/>
  <c r="H112" i="6"/>
  <c r="H110" i="6"/>
  <c r="H109" i="6"/>
  <c r="H108" i="6"/>
  <c r="H107" i="6"/>
  <c r="H106" i="6"/>
  <c r="H105" i="6"/>
  <c r="H104" i="6"/>
  <c r="H102" i="6"/>
  <c r="H101" i="6"/>
  <c r="H100" i="6"/>
  <c r="H99" i="6"/>
  <c r="H98" i="6"/>
  <c r="H97" i="6"/>
  <c r="H94" i="6"/>
  <c r="H93" i="6"/>
  <c r="H91" i="6"/>
  <c r="H90" i="6"/>
  <c r="H89" i="6"/>
  <c r="H88" i="6"/>
  <c r="H87" i="6"/>
  <c r="H86" i="6"/>
  <c r="H85" i="6"/>
  <c r="H84" i="6"/>
  <c r="H83" i="6"/>
  <c r="H82" i="6"/>
  <c r="H81" i="6"/>
  <c r="H79" i="6"/>
  <c r="H78" i="6"/>
  <c r="H76" i="6"/>
  <c r="H75" i="6"/>
  <c r="H74" i="6"/>
  <c r="H73" i="6"/>
  <c r="H72" i="6"/>
  <c r="H69" i="6"/>
  <c r="H68" i="6"/>
  <c r="H67" i="6"/>
  <c r="H66" i="6"/>
  <c r="H65" i="6"/>
  <c r="H64" i="6"/>
  <c r="H63" i="6"/>
  <c r="H62" i="6"/>
  <c r="H60" i="6"/>
  <c r="H59" i="6"/>
  <c r="H58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1" i="6"/>
  <c r="H20" i="6"/>
  <c r="H19" i="6"/>
  <c r="H18" i="6"/>
  <c r="H17" i="6"/>
  <c r="H16" i="6"/>
  <c r="H15" i="6"/>
  <c r="H14" i="6"/>
  <c r="H13" i="6"/>
  <c r="H12" i="6"/>
  <c r="H10" i="6"/>
  <c r="H9" i="6"/>
  <c r="H8" i="6"/>
  <c r="H7" i="6"/>
  <c r="H6" i="6"/>
  <c r="H5" i="6"/>
  <c r="H3" i="6"/>
  <c r="L111" i="6" l="1"/>
  <c r="M111" i="6" s="1"/>
  <c r="J111" i="6"/>
  <c r="L22" i="6"/>
  <c r="M22" i="6" s="1"/>
  <c r="J22" i="6"/>
  <c r="L77" i="6"/>
  <c r="M77" i="6" s="1"/>
  <c r="J77" i="6"/>
  <c r="L61" i="6"/>
  <c r="M61" i="6" s="1"/>
  <c r="J61" i="6"/>
  <c r="L122" i="6"/>
  <c r="M122" i="6" s="1"/>
  <c r="J122" i="6"/>
  <c r="L92" i="6"/>
  <c r="M92" i="6" s="1"/>
  <c r="J92" i="6"/>
  <c r="L132" i="6"/>
  <c r="M132" i="6" s="1"/>
  <c r="J132" i="6"/>
  <c r="L4" i="6"/>
  <c r="M4" i="6" s="1"/>
  <c r="J4" i="6"/>
  <c r="L146" i="6"/>
  <c r="M146" i="6" s="1"/>
  <c r="J146" i="6"/>
  <c r="L150" i="6"/>
  <c r="M150" i="6" s="1"/>
  <c r="J150" i="6"/>
  <c r="L70" i="6"/>
  <c r="M70" i="6" s="1"/>
  <c r="J70" i="6"/>
  <c r="L80" i="6"/>
  <c r="M80" i="6" s="1"/>
  <c r="J80" i="6"/>
  <c r="L117" i="6"/>
  <c r="M117" i="6" s="1"/>
  <c r="J117" i="6"/>
  <c r="J11" i="6"/>
  <c r="L11" i="6"/>
  <c r="M11" i="6" s="1"/>
  <c r="L57" i="6"/>
  <c r="M57" i="6" s="1"/>
  <c r="J57" i="6"/>
  <c r="J3" i="5"/>
  <c r="K3" i="5" s="1"/>
  <c r="J5" i="5"/>
  <c r="K5" i="5" s="1"/>
  <c r="B2" i="6"/>
  <c r="F2" i="6" s="1"/>
  <c r="G2" i="6" s="1"/>
  <c r="H2" i="6" s="1"/>
  <c r="L3" i="5"/>
  <c r="L4" i="5"/>
  <c r="J4" i="5"/>
  <c r="K4" i="5" s="1"/>
  <c r="L5" i="5"/>
  <c r="L96" i="6"/>
  <c r="M96" i="6" s="1"/>
  <c r="J96" i="6"/>
  <c r="L71" i="6"/>
  <c r="M71" i="6" s="1"/>
  <c r="J71" i="6"/>
  <c r="L95" i="6"/>
  <c r="M95" i="6" s="1"/>
  <c r="J95" i="6"/>
  <c r="L103" i="6"/>
  <c r="M103" i="6" s="1"/>
  <c r="J103" i="6"/>
  <c r="J23" i="6"/>
  <c r="L23" i="6"/>
  <c r="M23" i="6" s="1"/>
  <c r="L151" i="6"/>
  <c r="M151" i="6" s="1"/>
  <c r="J151" i="6"/>
  <c r="L149" i="6"/>
  <c r="M149" i="6" s="1"/>
  <c r="J149" i="6"/>
  <c r="L148" i="6"/>
  <c r="M148" i="6" s="1"/>
  <c r="J148" i="6"/>
  <c r="L147" i="6"/>
  <c r="M147" i="6" s="1"/>
  <c r="J147" i="6"/>
  <c r="L145" i="6"/>
  <c r="M145" i="6" s="1"/>
  <c r="J145" i="6"/>
  <c r="L144" i="6"/>
  <c r="M144" i="6" s="1"/>
  <c r="J144" i="6"/>
  <c r="L143" i="6"/>
  <c r="M143" i="6" s="1"/>
  <c r="J143" i="6"/>
  <c r="L142" i="6"/>
  <c r="M142" i="6" s="1"/>
  <c r="J142" i="6"/>
  <c r="L141" i="6"/>
  <c r="M141" i="6" s="1"/>
  <c r="J141" i="6"/>
  <c r="L140" i="6"/>
  <c r="M140" i="6" s="1"/>
  <c r="J140" i="6"/>
  <c r="L139" i="6"/>
  <c r="M139" i="6" s="1"/>
  <c r="J139" i="6"/>
  <c r="L138" i="6"/>
  <c r="M138" i="6" s="1"/>
  <c r="J138" i="6"/>
  <c r="L137" i="6"/>
  <c r="M137" i="6" s="1"/>
  <c r="J137" i="6"/>
  <c r="L136" i="6"/>
  <c r="M136" i="6" s="1"/>
  <c r="J136" i="6"/>
  <c r="L135" i="6"/>
  <c r="M135" i="6" s="1"/>
  <c r="J135" i="6"/>
  <c r="L134" i="6"/>
  <c r="M134" i="6" s="1"/>
  <c r="J134" i="6"/>
  <c r="L133" i="6"/>
  <c r="M133" i="6" s="1"/>
  <c r="J133" i="6"/>
  <c r="L131" i="6"/>
  <c r="M131" i="6" s="1"/>
  <c r="J131" i="6"/>
  <c r="L130" i="6"/>
  <c r="M130" i="6" s="1"/>
  <c r="J130" i="6"/>
  <c r="L129" i="6"/>
  <c r="M129" i="6" s="1"/>
  <c r="J129" i="6"/>
  <c r="L128" i="6"/>
  <c r="M128" i="6" s="1"/>
  <c r="J128" i="6"/>
  <c r="L127" i="6"/>
  <c r="M127" i="6" s="1"/>
  <c r="J127" i="6"/>
  <c r="L126" i="6"/>
  <c r="M126" i="6" s="1"/>
  <c r="J126" i="6"/>
  <c r="L125" i="6"/>
  <c r="M125" i="6" s="1"/>
  <c r="J125" i="6"/>
  <c r="L124" i="6"/>
  <c r="M124" i="6" s="1"/>
  <c r="J124" i="6"/>
  <c r="L123" i="6"/>
  <c r="M123" i="6" s="1"/>
  <c r="J123" i="6"/>
  <c r="L121" i="6"/>
  <c r="M121" i="6" s="1"/>
  <c r="J121" i="6"/>
  <c r="L120" i="6"/>
  <c r="M120" i="6" s="1"/>
  <c r="J120" i="6"/>
  <c r="L119" i="6"/>
  <c r="M119" i="6" s="1"/>
  <c r="J119" i="6"/>
  <c r="L118" i="6"/>
  <c r="M118" i="6" s="1"/>
  <c r="J118" i="6"/>
  <c r="L116" i="6"/>
  <c r="M116" i="6" s="1"/>
  <c r="J116" i="6"/>
  <c r="L115" i="6"/>
  <c r="M115" i="6" s="1"/>
  <c r="J115" i="6"/>
  <c r="L114" i="6"/>
  <c r="M114" i="6" s="1"/>
  <c r="J114" i="6"/>
  <c r="L113" i="6"/>
  <c r="M113" i="6" s="1"/>
  <c r="J113" i="6"/>
  <c r="L112" i="6"/>
  <c r="M112" i="6" s="1"/>
  <c r="J112" i="6"/>
  <c r="L110" i="6"/>
  <c r="M110" i="6" s="1"/>
  <c r="J110" i="6"/>
  <c r="L109" i="6"/>
  <c r="M109" i="6" s="1"/>
  <c r="J109" i="6"/>
  <c r="L108" i="6"/>
  <c r="M108" i="6" s="1"/>
  <c r="J108" i="6"/>
  <c r="L107" i="6"/>
  <c r="M107" i="6" s="1"/>
  <c r="J107" i="6"/>
  <c r="L106" i="6"/>
  <c r="M106" i="6" s="1"/>
  <c r="J106" i="6"/>
  <c r="L105" i="6"/>
  <c r="M105" i="6" s="1"/>
  <c r="J105" i="6"/>
  <c r="L104" i="6"/>
  <c r="M104" i="6" s="1"/>
  <c r="J104" i="6"/>
  <c r="L102" i="6"/>
  <c r="M102" i="6" s="1"/>
  <c r="J102" i="6"/>
  <c r="L101" i="6"/>
  <c r="M101" i="6" s="1"/>
  <c r="J101" i="6"/>
  <c r="L100" i="6"/>
  <c r="M100" i="6" s="1"/>
  <c r="J100" i="6"/>
  <c r="L99" i="6"/>
  <c r="M99" i="6" s="1"/>
  <c r="J99" i="6"/>
  <c r="L98" i="6"/>
  <c r="M98" i="6" s="1"/>
  <c r="J98" i="6"/>
  <c r="L97" i="6"/>
  <c r="M97" i="6" s="1"/>
  <c r="J97" i="6"/>
  <c r="L94" i="6"/>
  <c r="M94" i="6" s="1"/>
  <c r="J94" i="6"/>
  <c r="L93" i="6"/>
  <c r="M93" i="6" s="1"/>
  <c r="J93" i="6"/>
  <c r="L91" i="6"/>
  <c r="M91" i="6" s="1"/>
  <c r="J91" i="6"/>
  <c r="L90" i="6"/>
  <c r="M90" i="6" s="1"/>
  <c r="J90" i="6"/>
  <c r="L89" i="6"/>
  <c r="M89" i="6" s="1"/>
  <c r="J89" i="6"/>
  <c r="L88" i="6"/>
  <c r="M88" i="6" s="1"/>
  <c r="J88" i="6"/>
  <c r="L87" i="6"/>
  <c r="M87" i="6" s="1"/>
  <c r="J87" i="6"/>
  <c r="L86" i="6"/>
  <c r="M86" i="6" s="1"/>
  <c r="J86" i="6"/>
  <c r="L85" i="6"/>
  <c r="M85" i="6" s="1"/>
  <c r="J85" i="6"/>
  <c r="L84" i="6"/>
  <c r="M84" i="6" s="1"/>
  <c r="J84" i="6"/>
  <c r="L83" i="6"/>
  <c r="M83" i="6" s="1"/>
  <c r="J83" i="6"/>
  <c r="L82" i="6"/>
  <c r="M82" i="6" s="1"/>
  <c r="J82" i="6"/>
  <c r="L81" i="6"/>
  <c r="M81" i="6" s="1"/>
  <c r="J81" i="6"/>
  <c r="L79" i="6"/>
  <c r="M79" i="6" s="1"/>
  <c r="J79" i="6"/>
  <c r="L78" i="6"/>
  <c r="M78" i="6" s="1"/>
  <c r="J78" i="6"/>
  <c r="L76" i="6"/>
  <c r="M76" i="6" s="1"/>
  <c r="J76" i="6"/>
  <c r="L75" i="6"/>
  <c r="M75" i="6" s="1"/>
  <c r="J75" i="6"/>
  <c r="L74" i="6"/>
  <c r="M74" i="6" s="1"/>
  <c r="J74" i="6"/>
  <c r="L73" i="6"/>
  <c r="M73" i="6" s="1"/>
  <c r="J73" i="6"/>
  <c r="L72" i="6"/>
  <c r="M72" i="6" s="1"/>
  <c r="J72" i="6"/>
  <c r="L69" i="6"/>
  <c r="M69" i="6" s="1"/>
  <c r="J69" i="6"/>
  <c r="L68" i="6"/>
  <c r="M68" i="6" s="1"/>
  <c r="J68" i="6"/>
  <c r="L67" i="6"/>
  <c r="M67" i="6" s="1"/>
  <c r="J67" i="6"/>
  <c r="L66" i="6"/>
  <c r="M66" i="6" s="1"/>
  <c r="J66" i="6"/>
  <c r="L65" i="6"/>
  <c r="M65" i="6" s="1"/>
  <c r="J65" i="6"/>
  <c r="L64" i="6"/>
  <c r="M64" i="6" s="1"/>
  <c r="J64" i="6"/>
  <c r="L63" i="6"/>
  <c r="M63" i="6" s="1"/>
  <c r="J63" i="6"/>
  <c r="L62" i="6"/>
  <c r="M62" i="6" s="1"/>
  <c r="J62" i="6"/>
  <c r="L60" i="6"/>
  <c r="M60" i="6" s="1"/>
  <c r="J60" i="6"/>
  <c r="L59" i="6"/>
  <c r="M59" i="6" s="1"/>
  <c r="J59" i="6"/>
  <c r="L58" i="6"/>
  <c r="M58" i="6" s="1"/>
  <c r="J58" i="6"/>
  <c r="L56" i="6"/>
  <c r="M56" i="6" s="1"/>
  <c r="J56" i="6"/>
  <c r="L55" i="6"/>
  <c r="M55" i="6" s="1"/>
  <c r="J55" i="6"/>
  <c r="L54" i="6"/>
  <c r="M54" i="6" s="1"/>
  <c r="J54" i="6"/>
  <c r="L53" i="6"/>
  <c r="M53" i="6" s="1"/>
  <c r="J53" i="6"/>
  <c r="L52" i="6"/>
  <c r="M52" i="6" s="1"/>
  <c r="J52" i="6"/>
  <c r="L51" i="6"/>
  <c r="M51" i="6" s="1"/>
  <c r="J51" i="6"/>
  <c r="L50" i="6"/>
  <c r="M50" i="6" s="1"/>
  <c r="J50" i="6"/>
  <c r="L49" i="6"/>
  <c r="M49" i="6" s="1"/>
  <c r="J49" i="6"/>
  <c r="L48" i="6"/>
  <c r="M48" i="6" s="1"/>
  <c r="J48" i="6"/>
  <c r="L47" i="6"/>
  <c r="M47" i="6" s="1"/>
  <c r="J47" i="6"/>
  <c r="L46" i="6"/>
  <c r="M46" i="6" s="1"/>
  <c r="J46" i="6"/>
  <c r="J45" i="6"/>
  <c r="L45" i="6"/>
  <c r="M45" i="6" s="1"/>
  <c r="J44" i="6"/>
  <c r="L44" i="6"/>
  <c r="M44" i="6" s="1"/>
  <c r="L43" i="6"/>
  <c r="M43" i="6" s="1"/>
  <c r="J43" i="6"/>
  <c r="J42" i="6"/>
  <c r="L42" i="6"/>
  <c r="M42" i="6" s="1"/>
  <c r="L41" i="6"/>
  <c r="M41" i="6" s="1"/>
  <c r="J41" i="6"/>
  <c r="L40" i="6"/>
  <c r="M40" i="6" s="1"/>
  <c r="J40" i="6"/>
  <c r="L39" i="6"/>
  <c r="M39" i="6" s="1"/>
  <c r="J39" i="6"/>
  <c r="J38" i="6"/>
  <c r="L38" i="6"/>
  <c r="M38" i="6" s="1"/>
  <c r="L37" i="6"/>
  <c r="M37" i="6" s="1"/>
  <c r="J37" i="6"/>
  <c r="L36" i="6"/>
  <c r="M36" i="6" s="1"/>
  <c r="J36" i="6"/>
  <c r="L35" i="6"/>
  <c r="M35" i="6" s="1"/>
  <c r="J35" i="6"/>
  <c r="L34" i="6"/>
  <c r="M34" i="6" s="1"/>
  <c r="J34" i="6"/>
  <c r="L33" i="6"/>
  <c r="M33" i="6" s="1"/>
  <c r="J33" i="6"/>
  <c r="L32" i="6"/>
  <c r="M32" i="6" s="1"/>
  <c r="J32" i="6"/>
  <c r="L31" i="6"/>
  <c r="M31" i="6" s="1"/>
  <c r="J31" i="6"/>
  <c r="J30" i="6"/>
  <c r="L30" i="6"/>
  <c r="M30" i="6" s="1"/>
  <c r="L29" i="6"/>
  <c r="M29" i="6" s="1"/>
  <c r="J29" i="6"/>
  <c r="J28" i="6"/>
  <c r="L28" i="6"/>
  <c r="M28" i="6" s="1"/>
  <c r="L27" i="6"/>
  <c r="M27" i="6" s="1"/>
  <c r="J27" i="6"/>
  <c r="J26" i="6"/>
  <c r="L26" i="6"/>
  <c r="M26" i="6" s="1"/>
  <c r="J25" i="6"/>
  <c r="L25" i="6"/>
  <c r="M25" i="6" s="1"/>
  <c r="L24" i="6"/>
  <c r="M24" i="6" s="1"/>
  <c r="J24" i="6"/>
  <c r="L21" i="6"/>
  <c r="M21" i="6" s="1"/>
  <c r="J21" i="6"/>
  <c r="L20" i="6"/>
  <c r="M20" i="6" s="1"/>
  <c r="J20" i="6"/>
  <c r="J19" i="6"/>
  <c r="L19" i="6"/>
  <c r="M19" i="6" s="1"/>
  <c r="L18" i="6"/>
  <c r="M18" i="6" s="1"/>
  <c r="J18" i="6"/>
  <c r="L17" i="6"/>
  <c r="M17" i="6" s="1"/>
  <c r="J17" i="6"/>
  <c r="L16" i="6"/>
  <c r="M16" i="6" s="1"/>
  <c r="J16" i="6"/>
  <c r="J15" i="6"/>
  <c r="L15" i="6"/>
  <c r="M15" i="6" s="1"/>
  <c r="L14" i="6"/>
  <c r="M14" i="6" s="1"/>
  <c r="J14" i="6"/>
  <c r="L13" i="6"/>
  <c r="M13" i="6" s="1"/>
  <c r="J13" i="6"/>
  <c r="L12" i="6"/>
  <c r="M12" i="6" s="1"/>
  <c r="J12" i="6"/>
  <c r="J10" i="6"/>
  <c r="L10" i="6"/>
  <c r="M10" i="6" s="1"/>
  <c r="L9" i="6"/>
  <c r="M9" i="6" s="1"/>
  <c r="J9" i="6"/>
  <c r="L8" i="6"/>
  <c r="M8" i="6" s="1"/>
  <c r="J8" i="6"/>
  <c r="L7" i="6"/>
  <c r="M7" i="6" s="1"/>
  <c r="J7" i="6"/>
  <c r="L6" i="6"/>
  <c r="M6" i="6" s="1"/>
  <c r="J6" i="6"/>
  <c r="L5" i="6"/>
  <c r="M5" i="6" s="1"/>
  <c r="J5" i="6"/>
  <c r="J3" i="6"/>
  <c r="L3" i="6"/>
  <c r="M3" i="6" s="1"/>
  <c r="J2" i="6" l="1"/>
  <c r="L2" i="6"/>
  <c r="M2" i="6" s="1"/>
</calcChain>
</file>

<file path=xl/sharedStrings.xml><?xml version="1.0" encoding="utf-8"?>
<sst xmlns="http://schemas.openxmlformats.org/spreadsheetml/2006/main" count="1982" uniqueCount="438">
  <si>
    <t>Finished Goods Inventory &amp; Demand Forecasting Optimization — FMCG Supply Chain</t>
  </si>
  <si>
    <t>Excel + SQL/Python demand forecasting model, ABC analysis, and reorder-point / safety-stock calculator — built for Mondelez-style finished goods (chocolates, biscuits, malted beverages, candy &amp; gum, gifting).</t>
  </si>
  <si>
    <t>Sheet</t>
  </si>
  <si>
    <t>Contents</t>
  </si>
  <si>
    <t>Dashboard</t>
  </si>
  <si>
    <t>Executive KPI summary — fill-rate impact, forecast accuracy, ABC mix, and top reorder alerts, at a glance.</t>
  </si>
  <si>
    <t>SKU_Master</t>
  </si>
  <si>
    <t>Finished-goods SKU catalog: category, plant, distribution centers, cost, price, case pack, shelf life, lead time, MOQ (input data).</t>
  </si>
  <si>
    <t>Demand_Stats</t>
  </si>
  <si>
    <t>90-day avg &amp; std-dev daily demand per SKU, sourced from SQL (secondary sales / distributor off-take, v_sku_demand_stats_90d).</t>
  </si>
  <si>
    <t>ABC_Analysis</t>
  </si>
  <si>
    <t>Revenue-based Pareto classification (A/B/C) — LIVE Excel formulas (RANK, running SUM, IF).</t>
  </si>
  <si>
    <t>Reorder_Point_Calc</t>
  </si>
  <si>
    <t>Safety stock &amp; reorder point per SKU — LIVE formulas, service level driven by ABC class; suggested order qty in cases.</t>
  </si>
  <si>
    <t>Fill_Rate_Impact</t>
  </si>
  <si>
    <t>Baseline vs simulated case-fill-rate after applying the new reorder policy, over a 12-week network simulation (before/after).</t>
  </si>
  <si>
    <t>Forecast_Model</t>
  </si>
  <si>
    <t>ML demand-forecast model comparison (WMAPE) and next-week forecast per SKU, incl. promo-calendar &amp; festive-season features.</t>
  </si>
  <si>
    <t>Reorder_Alerts</t>
  </si>
  <si>
    <t>Automated, prioritized reorder alert list (urgency-ranked) — the AI-automation output.</t>
  </si>
  <si>
    <t>Color legend:</t>
  </si>
  <si>
    <t>Blue text = hardcoded input / external source (SQL extract, inventory snapshot, ML model output)</t>
  </si>
  <si>
    <t>Black text = live Excel formula</t>
  </si>
  <si>
    <t>Company context:</t>
  </si>
  <si>
    <t>Modeled on a Mondelez-style FMCG finished-goods network: 150 SKUs across 5 categories, 5 plants, 5 regional DCs (India).</t>
  </si>
  <si>
    <t>Mondelez — Finished Goods Inventory &amp; Demand Forecasting Optimization</t>
  </si>
  <si>
    <t>FMCG Supply Chain — 150 SKUs | 5 Categories | 5 Plants | 5 Regional DCs</t>
  </si>
  <si>
    <t>TOTAL SKUs</t>
  </si>
  <si>
    <t>FILL RATE (AFTER)</t>
  </si>
  <si>
    <t>FORECAST ERROR (WMAPE)</t>
  </si>
  <si>
    <t>Across 5 categories</t>
  </si>
  <si>
    <t>vs 74.6% before  (+24.2 pp)</t>
  </si>
  <si>
    <t>vs 28.3% naive baseline</t>
  </si>
  <si>
    <t>REORDER ALERTS</t>
  </si>
  <si>
    <t>CRITICAL ALERTS</t>
  </si>
  <si>
    <t>WINNING MODEL</t>
  </si>
  <si>
    <t>Random Forest</t>
  </si>
  <si>
    <t>of 150 SKUs (82% of network)</t>
  </si>
  <si>
    <t>On-hand at/near stockout</t>
  </si>
  <si>
    <t>vs Naive / Moving Avg / Gradient Boosting</t>
  </si>
  <si>
    <t>Alerts by Urgency</t>
  </si>
  <si>
    <t>CRITICAL</t>
  </si>
  <si>
    <t>HIGH</t>
  </si>
  <si>
    <t>WATCH</t>
  </si>
  <si>
    <t>SKU ID</t>
  </si>
  <si>
    <t>SKU Name</t>
  </si>
  <si>
    <t>Category</t>
  </si>
  <si>
    <t>Unit Cost (₹)</t>
  </si>
  <si>
    <t>Unit Price (₹)</t>
  </si>
  <si>
    <t>Lead Time (days)</t>
  </si>
  <si>
    <t>MOQ (Cases)</t>
  </si>
  <si>
    <t>Case Pack (units/case)</t>
  </si>
  <si>
    <t>Shelf Life (days)</t>
  </si>
  <si>
    <t>Plant</t>
  </si>
  <si>
    <t>Distribution Centers (DCs)</t>
  </si>
  <si>
    <t>MDLZ0001</t>
  </si>
  <si>
    <t>Cadbury 5 Star 24g</t>
  </si>
  <si>
    <t>Chocolates</t>
  </si>
  <si>
    <t>Malanpur (MP)</t>
  </si>
  <si>
    <t>DC-Central (Nagpur)|DC-East (Kolkata)|DC-South (Chennai)|DC-West (Mumbai)</t>
  </si>
  <si>
    <t>MDLZ0002</t>
  </si>
  <si>
    <t>Dairy Milk Roast Almond 55g</t>
  </si>
  <si>
    <t>DC-East (Kolkata)|DC-North (Delhi-NCR)|DC-South (Chennai)</t>
  </si>
  <si>
    <t>MDLZ0003</t>
  </si>
  <si>
    <t>Cadbury Dairy Milk 150g</t>
  </si>
  <si>
    <t>Baddi (HP)</t>
  </si>
  <si>
    <t>DC-East (Kolkata)|DC-North (Delhi-NCR)|DC-South (Chennai)|DC-West (Mumbai)</t>
  </si>
  <si>
    <t>MDLZ0004</t>
  </si>
  <si>
    <t>Cadbury Fuse 13g</t>
  </si>
  <si>
    <t>MDLZ0005</t>
  </si>
  <si>
    <t>Dairy Milk Silk 13g</t>
  </si>
  <si>
    <t>Sri City (AP)</t>
  </si>
  <si>
    <t>DC-Central (Nagpur)|DC-East (Kolkata)|DC-North (Delhi-NCR)|DC-South (Chennai)</t>
  </si>
  <si>
    <t>MDLZ0006</t>
  </si>
  <si>
    <t>Cadbury Perk 24g</t>
  </si>
  <si>
    <t>Induri (Pune, MH)</t>
  </si>
  <si>
    <t>MDLZ0007</t>
  </si>
  <si>
    <t>Cadbury Bournville 80g</t>
  </si>
  <si>
    <t>MDLZ0008</t>
  </si>
  <si>
    <t>Cadbury 5 Star 80g</t>
  </si>
  <si>
    <t>DC-Central (Nagpur)|DC-North (Delhi-NCR)|DC-South (Chennai)|DC-West (Mumbai)</t>
  </si>
  <si>
    <t>MDLZ0009</t>
  </si>
  <si>
    <t>Cadbury 5 Star 38g</t>
  </si>
  <si>
    <t>MDLZ0010</t>
  </si>
  <si>
    <t>Cadbury Crackle 80g</t>
  </si>
  <si>
    <t>MDLZ0011</t>
  </si>
  <si>
    <t>Cadbury Crackle 24g</t>
  </si>
  <si>
    <t>DC-Central (Nagpur)|DC-West (Mumbai)</t>
  </si>
  <si>
    <t>MDLZ0012</t>
  </si>
  <si>
    <t>Cadbury Bournville 110g</t>
  </si>
  <si>
    <t>MDLZ0013</t>
  </si>
  <si>
    <t>Cadbury Dairy Milk 80g</t>
  </si>
  <si>
    <t>MDLZ0014</t>
  </si>
  <si>
    <t>Cadbury 5 Star 150g</t>
  </si>
  <si>
    <t>DC-North (Delhi-NCR)|DC-West (Mumbai)</t>
  </si>
  <si>
    <t>MDLZ0015</t>
  </si>
  <si>
    <t>Dairy Milk Silk Bubbly 150g</t>
  </si>
  <si>
    <t>Hyderabad (TS)</t>
  </si>
  <si>
    <t>DC-Central (Nagpur)|DC-East (Kolkata)|DC-West (Mumbai)</t>
  </si>
  <si>
    <t>MDLZ0016</t>
  </si>
  <si>
    <t>Cadbury Perk 80g</t>
  </si>
  <si>
    <t>DC-Central (Nagpur)|DC-East (Kolkata)|DC-North (Delhi-NCR)|DC-West (Mumbai)</t>
  </si>
  <si>
    <t>MDLZ0017</t>
  </si>
  <si>
    <t>Cadbury Gems 24g</t>
  </si>
  <si>
    <t>MDLZ0018</t>
  </si>
  <si>
    <t>Cadbury Gems 110g</t>
  </si>
  <si>
    <t>DC-East (Kolkata)|DC-North (Delhi-NCR)</t>
  </si>
  <si>
    <t>MDLZ0019</t>
  </si>
  <si>
    <t>Cadbury Fuse 38g</t>
  </si>
  <si>
    <t>MDLZ0020</t>
  </si>
  <si>
    <t>Cadbury Fuse 150g</t>
  </si>
  <si>
    <t>MDLZ0021</t>
  </si>
  <si>
    <t>Dairy Milk Silk 24g</t>
  </si>
  <si>
    <t>MDLZ0022</t>
  </si>
  <si>
    <t>Cadbury 5 Star 110g</t>
  </si>
  <si>
    <t>MDLZ0023</t>
  </si>
  <si>
    <t>Cadbury Perk 38g</t>
  </si>
  <si>
    <t>MDLZ0024</t>
  </si>
  <si>
    <t>Dairy Milk Silk 80g</t>
  </si>
  <si>
    <t>DC-Central (Nagpur)|DC-East (Kolkata)|DC-North (Delhi-NCR)</t>
  </si>
  <si>
    <t>MDLZ0025</t>
  </si>
  <si>
    <t>Dairy Milk Silk Bubbly 110g</t>
  </si>
  <si>
    <t>DC-North (Delhi-NCR)|DC-South (Chennai)</t>
  </si>
  <si>
    <t>MDLZ0026</t>
  </si>
  <si>
    <t>Cadbury Fuse 80g</t>
  </si>
  <si>
    <t>DC-Central (Nagpur)|DC-South (Chennai)</t>
  </si>
  <si>
    <t>MDLZ0027</t>
  </si>
  <si>
    <t>Cadbury Crackle 150g</t>
  </si>
  <si>
    <t>MDLZ0028</t>
  </si>
  <si>
    <t>Dairy Milk Roast Almond 110g</t>
  </si>
  <si>
    <t>MDLZ0029</t>
  </si>
  <si>
    <t>Cadbury Bournville 24g</t>
  </si>
  <si>
    <t>DC-Central (Nagpur)|DC-East (Kolkata)</t>
  </si>
  <si>
    <t>MDLZ0030</t>
  </si>
  <si>
    <t>Cadbury Perk 55g</t>
  </si>
  <si>
    <t>MDLZ0031</t>
  </si>
  <si>
    <t>Oreo Vanilla Creme 71.3g</t>
  </si>
  <si>
    <t>Biscuits &amp; Wafers</t>
  </si>
  <si>
    <t>MDLZ0032</t>
  </si>
  <si>
    <t>Oreo Vanilla Creme 46.3g</t>
  </si>
  <si>
    <t>MDLZ0033</t>
  </si>
  <si>
    <t>Oreo Vanilla Creme 146.3g</t>
  </si>
  <si>
    <t>MDLZ0034</t>
  </si>
  <si>
    <t>Oreo Chocolate Creme 146.3g</t>
  </si>
  <si>
    <t>MDLZ0035</t>
  </si>
  <si>
    <t>Oreo Fingers 71.3g</t>
  </si>
  <si>
    <t>DC-Central (Nagpur)|DC-East (Kolkata)|DC-South (Chennai)</t>
  </si>
  <si>
    <t>MDLZ0036</t>
  </si>
  <si>
    <t>Oreo Strawberry Creme 46.3g</t>
  </si>
  <si>
    <t>DC-Central (Nagpur)|DC-North (Delhi-NCR)|DC-West (Mumbai)</t>
  </si>
  <si>
    <t>MDLZ0037</t>
  </si>
  <si>
    <t>Oreo Original 71.3g</t>
  </si>
  <si>
    <t>MDLZ0038</t>
  </si>
  <si>
    <t>Oreo Original 46.3g</t>
  </si>
  <si>
    <t>MDLZ0039</t>
  </si>
  <si>
    <t>Oreo Vanilla Creme 300g</t>
  </si>
  <si>
    <t>MDLZ0040</t>
  </si>
  <si>
    <t>Oreo Original 146.3g</t>
  </si>
  <si>
    <t>DC-East (Kolkata)|DC-West (Mumbai)</t>
  </si>
  <si>
    <t>MDLZ0041</t>
  </si>
  <si>
    <t>Oreo Choco Sandwich 71.3g</t>
  </si>
  <si>
    <t>MDLZ0042</t>
  </si>
  <si>
    <t>Oreo Choco Sandwich 300g</t>
  </si>
  <si>
    <t>MDLZ0043</t>
  </si>
  <si>
    <t>Oreo Chocolate Creme 300g</t>
  </si>
  <si>
    <t>MDLZ0044</t>
  </si>
  <si>
    <t>Oreo Original 300g</t>
  </si>
  <si>
    <t>MDLZ0045</t>
  </si>
  <si>
    <t>Oreo Choco Sandwich 146.3g</t>
  </si>
  <si>
    <t>MDLZ0046</t>
  </si>
  <si>
    <t>Oreo Vanilla Creme 120g</t>
  </si>
  <si>
    <t>MDLZ0047</t>
  </si>
  <si>
    <t>Oreo Fingers 300g</t>
  </si>
  <si>
    <t>MDLZ0048</t>
  </si>
  <si>
    <t>Oreo Chocolate Creme 71.3g</t>
  </si>
  <si>
    <t>MDLZ0049</t>
  </si>
  <si>
    <t>Oreo Fingers 146.3g</t>
  </si>
  <si>
    <t>MDLZ0050</t>
  </si>
  <si>
    <t>Oreo Fingers 46.3g</t>
  </si>
  <si>
    <t>MDLZ0051</t>
  </si>
  <si>
    <t>Oreo Strawberry Creme 71.3g</t>
  </si>
  <si>
    <t>MDLZ0052</t>
  </si>
  <si>
    <t>Oreo Original 120g</t>
  </si>
  <si>
    <t>MDLZ0053</t>
  </si>
  <si>
    <t>Oreo Strawberry Creme 120g</t>
  </si>
  <si>
    <t>MDLZ0054</t>
  </si>
  <si>
    <t>Oreo Choco Sandwich 120g</t>
  </si>
  <si>
    <t>MDLZ0055</t>
  </si>
  <si>
    <t>Oreo Strawberry Creme 300g</t>
  </si>
  <si>
    <t>MDLZ0056</t>
  </si>
  <si>
    <t>Oreo Chocolate Creme 120g</t>
  </si>
  <si>
    <t>MDLZ0057</t>
  </si>
  <si>
    <t>Oreo Strawberry Creme 146.3g</t>
  </si>
  <si>
    <t>MDLZ0058</t>
  </si>
  <si>
    <t>Oreo Fingers 600g</t>
  </si>
  <si>
    <t>MDLZ0059</t>
  </si>
  <si>
    <t>Oreo Fingers 120g</t>
  </si>
  <si>
    <t>DC-Central (Nagpur)|DC-North (Delhi-NCR)</t>
  </si>
  <si>
    <t>MDLZ0060</t>
  </si>
  <si>
    <t>Oreo Chocolate Creme 600g</t>
  </si>
  <si>
    <t>MDLZ0061</t>
  </si>
  <si>
    <t>Bournvita Duo Chocolate 750g</t>
  </si>
  <si>
    <t>Malted Beverages</t>
  </si>
  <si>
    <t>DC-South (Chennai)|DC-West (Mumbai)</t>
  </si>
  <si>
    <t>MDLZ0062</t>
  </si>
  <si>
    <t>Bournvita Duo Chocolate 500g</t>
  </si>
  <si>
    <t>MDLZ0063</t>
  </si>
  <si>
    <t>Tang Mango 750g</t>
  </si>
  <si>
    <t>MDLZ0064</t>
  </si>
  <si>
    <t>Bournvita Lil Champs Jar 200g</t>
  </si>
  <si>
    <t>DC-East (Kolkata)|DC-North (Delhi-NCR)|DC-West (Mumbai)</t>
  </si>
  <si>
    <t>MDLZ0065</t>
  </si>
  <si>
    <t>Tang Orange 500g</t>
  </si>
  <si>
    <t>DC-North (Delhi-NCR)|DC-South (Chennai)|DC-West (Mumbai)</t>
  </si>
  <si>
    <t>MDLZ0066</t>
  </si>
  <si>
    <t>Tang Mango 2kg</t>
  </si>
  <si>
    <t>MDLZ0067</t>
  </si>
  <si>
    <t>Bournvita Original Jar 1kg</t>
  </si>
  <si>
    <t>MDLZ0068</t>
  </si>
  <si>
    <t>Bournvita Refill Pack 2kg</t>
  </si>
  <si>
    <t>MDLZ0069</t>
  </si>
  <si>
    <t>Bournvita Lil Champs Jar 500g</t>
  </si>
  <si>
    <t>MDLZ0070</t>
  </si>
  <si>
    <t>Bournvita 5Star Magic Jar 200g</t>
  </si>
  <si>
    <t>MDLZ0071</t>
  </si>
  <si>
    <t>Bournvita Original Jar 750g</t>
  </si>
  <si>
    <t>MDLZ0072</t>
  </si>
  <si>
    <t>Bournvita 5Star Magic Jar 2kg</t>
  </si>
  <si>
    <t>MDLZ0073</t>
  </si>
  <si>
    <t>Bournvita Original Jar 200g</t>
  </si>
  <si>
    <t>MDLZ0074</t>
  </si>
  <si>
    <t>Tang Lemon 750g</t>
  </si>
  <si>
    <t>MDLZ0075</t>
  </si>
  <si>
    <t>Bournvita Original Jar 500g</t>
  </si>
  <si>
    <t>MDLZ0076</t>
  </si>
  <si>
    <t>Bournvita Refill Pack 200g</t>
  </si>
  <si>
    <t>MDLZ0077</t>
  </si>
  <si>
    <t>Tang Lemon 200g</t>
  </si>
  <si>
    <t>MDLZ0078</t>
  </si>
  <si>
    <t>Tang Mango 200g</t>
  </si>
  <si>
    <t>MDLZ0079</t>
  </si>
  <si>
    <t>Tang Mango 1kg</t>
  </si>
  <si>
    <t>MDLZ0080</t>
  </si>
  <si>
    <t>Bournvita 5Star Magic Jar 500g</t>
  </si>
  <si>
    <t>MDLZ0081</t>
  </si>
  <si>
    <t>Bournvita 5Star Magic Jar 750g</t>
  </si>
  <si>
    <t>MDLZ0082</t>
  </si>
  <si>
    <t>Bournvita Duo Chocolate 2kg</t>
  </si>
  <si>
    <t>MDLZ0083</t>
  </si>
  <si>
    <t>Tang Lemon 1kg</t>
  </si>
  <si>
    <t>MDLZ0084</t>
  </si>
  <si>
    <t>Bournvita Refill Pack 1kg</t>
  </si>
  <si>
    <t>MDLZ0085</t>
  </si>
  <si>
    <t>Tang Orange 1kg</t>
  </si>
  <si>
    <t>MDLZ0086</t>
  </si>
  <si>
    <t>Bournvita Lil Champs Jar 1kg</t>
  </si>
  <si>
    <t>MDLZ0087</t>
  </si>
  <si>
    <t>Tang Orange 750g</t>
  </si>
  <si>
    <t>MDLZ0088</t>
  </si>
  <si>
    <t>Bournvita Refill Pack 750g</t>
  </si>
  <si>
    <t>MDLZ0089</t>
  </si>
  <si>
    <t>Bournvita Duo Chocolate 1kg</t>
  </si>
  <si>
    <t>MDLZ0090</t>
  </si>
  <si>
    <t>Bournvita Lil Champs Jar 750g</t>
  </si>
  <si>
    <t>MDLZ0091</t>
  </si>
  <si>
    <t>Halls Orange Stickpack 10pc</t>
  </si>
  <si>
    <t>Candy &amp; Gum</t>
  </si>
  <si>
    <t>MDLZ0092</t>
  </si>
  <si>
    <t>Bubbaloo Bubblegum Pouch 100pc</t>
  </si>
  <si>
    <t>MDLZ0093</t>
  </si>
  <si>
    <t>Chiclets Peppermint Jar 300g</t>
  </si>
  <si>
    <t>MDLZ0094</t>
  </si>
  <si>
    <t>Chiclets Peppermint Bottle 23.4g</t>
  </si>
  <si>
    <t>MDLZ0095</t>
  </si>
  <si>
    <t>Halls Orange Jar 300g</t>
  </si>
  <si>
    <t>MDLZ0096</t>
  </si>
  <si>
    <t>Chiclets Peppermint Stickpack 10pc</t>
  </si>
  <si>
    <t>MDLZ0097</t>
  </si>
  <si>
    <t>Chiclets Spearmint Jar 300g</t>
  </si>
  <si>
    <t>MDLZ0098</t>
  </si>
  <si>
    <t>Bubbaloo Strawberry Stickpack 10pc</t>
  </si>
  <si>
    <t>MDLZ0099</t>
  </si>
  <si>
    <t>Halls Strawberry Stickpack 10pc</t>
  </si>
  <si>
    <t>MDLZ0100</t>
  </si>
  <si>
    <t>Halls Orange Bottle 23.4g</t>
  </si>
  <si>
    <t>MDLZ0101</t>
  </si>
  <si>
    <t>Halls Mentho-Lyptus Pouch 100pc</t>
  </si>
  <si>
    <t>MDLZ0102</t>
  </si>
  <si>
    <t>Bubbaloo Strawberry Jar 300g</t>
  </si>
  <si>
    <t>MDLZ0103</t>
  </si>
  <si>
    <t>Halls Mentho-Lyptus Jar 300g</t>
  </si>
  <si>
    <t>MDLZ0104</t>
  </si>
  <si>
    <t>Halls Guava Bottle 23.4g</t>
  </si>
  <si>
    <t>MDLZ0105</t>
  </si>
  <si>
    <t>Halls Guava Stickpack 10pc</t>
  </si>
  <si>
    <t>MDLZ0106</t>
  </si>
  <si>
    <t>Bubbaloo Strawberry Pouch 100pc</t>
  </si>
  <si>
    <t>DC-East (Kolkata)|DC-South (Chennai)</t>
  </si>
  <si>
    <t>MDLZ0107</t>
  </si>
  <si>
    <t>Bubbaloo Bubblegum Stickpack 10pc</t>
  </si>
  <si>
    <t>MDLZ0108</t>
  </si>
  <si>
    <t>Halls Guava Jar 300g</t>
  </si>
  <si>
    <t>MDLZ0109</t>
  </si>
  <si>
    <t>Halls Orange Pouch 100pc</t>
  </si>
  <si>
    <t>MDLZ0110</t>
  </si>
  <si>
    <t>Halls Guava Pouch 100pc</t>
  </si>
  <si>
    <t>MDLZ0111</t>
  </si>
  <si>
    <t>Halls Strawberry Pouch 100pc</t>
  </si>
  <si>
    <t>MDLZ0112</t>
  </si>
  <si>
    <t>Bubbaloo Bubblegum Bottle 23.4g</t>
  </si>
  <si>
    <t>MDLZ0113</t>
  </si>
  <si>
    <t>Halls Strawberry Jar 300g</t>
  </si>
  <si>
    <t>MDLZ0114</t>
  </si>
  <si>
    <t>Chiclets Spearmint Bottle 23.4g</t>
  </si>
  <si>
    <t>MDLZ0115</t>
  </si>
  <si>
    <t>Halls Strawberry Bottle 23.4g</t>
  </si>
  <si>
    <t>MDLZ0116</t>
  </si>
  <si>
    <t>Bubbaloo Strawberry Bottle 23.4g</t>
  </si>
  <si>
    <t>MDLZ0117</t>
  </si>
  <si>
    <t>Chiclets Peppermint Pouch 100pc</t>
  </si>
  <si>
    <t>MDLZ0118</t>
  </si>
  <si>
    <t>Bubbaloo Bubblegum Jar 300g</t>
  </si>
  <si>
    <t>MDLZ0119</t>
  </si>
  <si>
    <t>Halls Mentho-Lyptus Stickpack 10pc</t>
  </si>
  <si>
    <t>MDLZ0120</t>
  </si>
  <si>
    <t>Chiclets Spearmint Stickpack 10pc</t>
  </si>
  <si>
    <t>DC-East (Kolkata)|DC-South (Chennai)|DC-West (Mumbai)</t>
  </si>
  <si>
    <t>MDLZ0121</t>
  </si>
  <si>
    <t>Bournville Gift Pack 300g</t>
  </si>
  <si>
    <t>Premium Gifting</t>
  </si>
  <si>
    <t>DC-Central (Nagpur)|DC-North (Delhi-NCR)|DC-South (Chennai)</t>
  </si>
  <si>
    <t>MDLZ0122</t>
  </si>
  <si>
    <t>Toblerone White Chocolate 177g</t>
  </si>
  <si>
    <t>MDLZ0123</t>
  </si>
  <si>
    <t>Bournville Gift Pack 177g</t>
  </si>
  <si>
    <t>MDLZ0124</t>
  </si>
  <si>
    <t>Celebrations Rich Dry Fruit 59g</t>
  </si>
  <si>
    <t>MDLZ0125</t>
  </si>
  <si>
    <t>Toblerone Dark Chocolate 59g</t>
  </si>
  <si>
    <t>MDLZ0126</t>
  </si>
  <si>
    <t>Celebrations Assorted 400g</t>
  </si>
  <si>
    <t>MDLZ0127</t>
  </si>
  <si>
    <t>Celebrations Mixed Fruit &amp; Nut 59g</t>
  </si>
  <si>
    <t>MDLZ0128</t>
  </si>
  <si>
    <t>Toblerone Milk Chocolate 300g</t>
  </si>
  <si>
    <t>MDLZ0129</t>
  </si>
  <si>
    <t>Celebrations Assorted 118g</t>
  </si>
  <si>
    <t>MDLZ0130</t>
  </si>
  <si>
    <t>Toblerone Dark Chocolate 177g</t>
  </si>
  <si>
    <t>MDLZ0131</t>
  </si>
  <si>
    <t>Celebrations Mixed Fruit &amp; Nut 400g</t>
  </si>
  <si>
    <t>MDLZ0132</t>
  </si>
  <si>
    <t>Celebrations Mixed Fruit &amp; Nut 118g</t>
  </si>
  <si>
    <t>MDLZ0133</t>
  </si>
  <si>
    <t>Celebrations Mixed Fruit &amp; Nut 177g</t>
  </si>
  <si>
    <t>MDLZ0134</t>
  </si>
  <si>
    <t>Bournville Gift Pack 59g</t>
  </si>
  <si>
    <t>MDLZ0135</t>
  </si>
  <si>
    <t>Silk Gift Box 300g</t>
  </si>
  <si>
    <t>MDLZ0136</t>
  </si>
  <si>
    <t>Celebrations Mixed Fruit &amp; Nut 300g</t>
  </si>
  <si>
    <t>MDLZ0137</t>
  </si>
  <si>
    <t>Toblerone Milk Chocolate 118g</t>
  </si>
  <si>
    <t>MDLZ0138</t>
  </si>
  <si>
    <t>Celebrations Assorted 300g</t>
  </si>
  <si>
    <t>MDLZ0139</t>
  </si>
  <si>
    <t>Bournville Gift Pack 400g</t>
  </si>
  <si>
    <t>MDLZ0140</t>
  </si>
  <si>
    <t>Toblerone White Chocolate 59g</t>
  </si>
  <si>
    <t>MDLZ0141</t>
  </si>
  <si>
    <t>Toblerone White Chocolate 300g</t>
  </si>
  <si>
    <t>MDLZ0142</t>
  </si>
  <si>
    <t>Toblerone Dark Chocolate 118g</t>
  </si>
  <si>
    <t>MDLZ0143</t>
  </si>
  <si>
    <t>Toblerone White Chocolate 400g</t>
  </si>
  <si>
    <t>MDLZ0144</t>
  </si>
  <si>
    <t>Celebrations Rich Dry Fruit 400g</t>
  </si>
  <si>
    <t>MDLZ0145</t>
  </si>
  <si>
    <t>Toblerone Milk Chocolate 177g</t>
  </si>
  <si>
    <t>MDLZ0146</t>
  </si>
  <si>
    <t>Toblerone Dark Chocolate 400g</t>
  </si>
  <si>
    <t>MDLZ0147</t>
  </si>
  <si>
    <t>Silk Gift Box 59g</t>
  </si>
  <si>
    <t>MDLZ0148</t>
  </si>
  <si>
    <t>Toblerone White Chocolate 118g</t>
  </si>
  <si>
    <t>MDLZ0149</t>
  </si>
  <si>
    <t>Silk Gift Box 177g</t>
  </si>
  <si>
    <t>MDLZ0150</t>
  </si>
  <si>
    <t>Bournville Gift Pack 118g</t>
  </si>
  <si>
    <t>Days Observed</t>
  </si>
  <si>
    <t>Avg Daily Demand</t>
  </si>
  <si>
    <t>Std Dev Daily Demand</t>
  </si>
  <si>
    <t>Source: SQL view v_sku_demand_stats_90d (02_demand_stats.sql), trailing 90 days of secondary-sales / distributor-offtake fact table.</t>
  </si>
  <si>
    <t>Units Sold (12M)</t>
  </si>
  <si>
    <t>Revenue (12M, ₹)</t>
  </si>
  <si>
    <t>Revenue Rank</t>
  </si>
  <si>
    <t>Cumulative Revenue %</t>
  </si>
  <si>
    <t>ABC Class</t>
  </si>
  <si>
    <t>ABC Summary</t>
  </si>
  <si>
    <t>Class</t>
  </si>
  <si>
    <t>SKU Count</t>
  </si>
  <si>
    <t>% of SKUs</t>
  </si>
  <si>
    <t>% of Revenue</t>
  </si>
  <si>
    <t>A</t>
  </si>
  <si>
    <t>B</t>
  </si>
  <si>
    <t>C</t>
  </si>
  <si>
    <t>Std Dev Demand</t>
  </si>
  <si>
    <t>Service Level Z</t>
  </si>
  <si>
    <t>Safety Stock (units)</t>
  </si>
  <si>
    <t>Reorder Point (units)</t>
  </si>
  <si>
    <t>Net On-Hand (units)</t>
  </si>
  <si>
    <t>Action</t>
  </si>
  <si>
    <t>Suggested Order Qty (units)</t>
  </si>
  <si>
    <t>Suggested Order Qty (Cases)</t>
  </si>
  <si>
    <t>Formulas: Safety Stock = Z x sigma(demand) x SQRT(Lead Time)  |  Reorder Point = (Avg Demand x Lead Time) + Safety Stock  |  Suggested Order Qty = MAX(0, Reorder Point + 10 days cycle stock - On-Hand)</t>
  </si>
  <si>
    <t>Before vs After: Reorder Policy Impact (12-Week Network Simulation)</t>
  </si>
  <si>
    <t>AFTER = simulated result of replacing the naive weekly-review policy with the ABC-tiered, forecast-driven reorder-point policy from this workbook, across all 150 SKUs / 5 DCs, with a 30-day warm-up period before measurement (Gamma-Poisson demand, promo &amp; festive-season spikes included).</t>
  </si>
  <si>
    <t>Fill Rate — BEFORE (naive weekly-review policy)</t>
  </si>
  <si>
    <t>Fill Rate — AFTER (ABC-tiered, forecast-driven policy)</t>
  </si>
  <si>
    <t>Improvement (percentage points)</t>
  </si>
  <si>
    <t>Demand Forecasting Model — Benchmark (WMAPE %, lower = better)</t>
  </si>
  <si>
    <t>Model</t>
  </si>
  <si>
    <t>WMAPE %</t>
  </si>
  <si>
    <t>Naive (last week)</t>
  </si>
  <si>
    <t>Moving Average (4wk)</t>
  </si>
  <si>
    <t>Gradient Boosting</t>
  </si>
  <si>
    <t>Winning model: Random Forest (engineered lag + rolling-window + promo-calendar + festive-season features, weekly SKU-level demand).</t>
  </si>
  <si>
    <t>Trained/evaluated in Python (scikit-learn); see 03_forecasting_model.py. Time-based 8-week holdout, no leakage (all features causal; promo flags are the known-in-advance trade-promo calendar).</t>
  </si>
  <si>
    <t>Next-Week Demand Forecast (sample, top 15 by forecast volume)</t>
  </si>
  <si>
    <t>Forecast Week</t>
  </si>
  <si>
    <t>Forecast Demand (units)</t>
  </si>
  <si>
    <t>2026-09-10</t>
  </si>
  <si>
    <t>Automated Reorder Alerts (AI Automation Layer — prioritized, urgency-ranked)</t>
  </si>
  <si>
    <t>On Hand</t>
  </si>
  <si>
    <t>Days of Cover</t>
  </si>
  <si>
    <t>Forecast Demand (next wk)</t>
  </si>
  <si>
    <t>Urgency</t>
  </si>
  <si>
    <t>123 of 150 SKUs flagged for reorder (82.0% of the network) — ranked CRITICAL &gt; HIGH &gt; WATCH, then by days of cover ascending.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</si>
</sst>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\%"/>
    <numFmt numFmtId="166" formatCode="\₹#,##0.00"/>
    <numFmt numFmtId="167" formatCode="\₹#,##0"/>
    <numFmt numFmtId="168" formatCode="\+0.0%;\-0.0%"/>
  </numFmts>
  <fonts count="13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6"/>
      <color rgb="FF1F4E78"/>
      <name val="Arial"/>
      <charset val="1"/>
    </font>
    <font>
      <b/>
      <sz val="10"/>
      <color rgb="FF595959"/>
      <name val="Arial"/>
      <charset val="1"/>
    </font>
    <font>
      <b/>
      <sz val="20"/>
      <color rgb="FF1F4E78"/>
      <name val="Arial"/>
      <charset val="1"/>
    </font>
    <font>
      <sz val="10"/>
      <color rgb="FF0000FF"/>
      <name val="Arial"/>
      <charset val="1"/>
    </font>
    <font>
      <b/>
      <sz val="10"/>
      <color rgb="FFC00000"/>
      <name val="Arial"/>
      <charset val="1"/>
    </font>
    <font>
      <b/>
      <sz val="10"/>
      <color rgb="FFE36C09"/>
      <name val="Arial"/>
      <charset val="1"/>
    </font>
    <font>
      <b/>
      <sz val="10"/>
      <color rgb="FF9C65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</fills>
  <borders count="2">
    <border>
      <left/>
      <right/>
      <top/>
      <bottom/>
      <diagonal/>
    </border>
    <border>
      <left style="thin">
        <color rgb="FFBFD3E6"/>
      </left>
      <right style="thin">
        <color rgb="FFBFD3E6"/>
      </right>
      <top style="thin">
        <color rgb="FFBFD3E6"/>
      </top>
      <bottom style="thin">
        <color rgb="FFBFD3E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3" borderId="1" xfId="0" applyFont="1" applyFill="1" applyBorder="1"/>
    <xf numFmtId="165" fontId="8" fillId="3" borderId="1" xfId="0" applyNumberFormat="1" applyFont="1" applyFill="1" applyBorder="1" applyAlignment="1">
      <alignment vertical="center"/>
    </xf>
    <xf numFmtId="164" fontId="8" fillId="3" borderId="1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7" fillId="3" borderId="1" xfId="0" applyFont="1" applyFill="1" applyBorder="1"/>
    <xf numFmtId="0" fontId="2" fillId="0" borderId="0" xfId="0" applyFont="1"/>
    <xf numFmtId="0" fontId="6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9" fillId="0" borderId="0" xfId="0" applyFont="1"/>
    <xf numFmtId="166" fontId="9" fillId="0" borderId="0" xfId="0" applyNumberFormat="1" applyFont="1"/>
    <xf numFmtId="167" fontId="9" fillId="0" borderId="0" xfId="0" applyNumberFormat="1" applyFont="1"/>
    <xf numFmtId="164" fontId="4" fillId="0" borderId="0" xfId="0" applyNumberFormat="1" applyFont="1"/>
    <xf numFmtId="164" fontId="9" fillId="0" borderId="0" xfId="0" applyNumberFormat="1" applyFont="1"/>
    <xf numFmtId="168" fontId="5" fillId="0" borderId="0" xfId="0" applyNumberFormat="1" applyFont="1"/>
    <xf numFmtId="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D9D9D9"/>
      <rgbColor rgb="FF878787"/>
      <rgbColor rgb="FF9999FF"/>
      <rgbColor rgb="FFC0504D"/>
      <rgbColor rgb="FFF2F6FA"/>
      <rgbColor rgb="FFCCFFFF"/>
      <rgbColor rgb="FF660066"/>
      <rgbColor rgb="FFFF8080"/>
      <rgbColor rgb="FF0066CC"/>
      <rgbColor rgb="FFBFD3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E36C09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Fill Rate: Before vs After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Fill_Rate_Impact!$B$5:$B$6</c:f>
              <c:strCache>
                <c:ptCount val="2"/>
                <c:pt idx="0">
                  <c:v>Fill Rate — BEFORE (naive weekly-review policy)</c:v>
                </c:pt>
                <c:pt idx="1">
                  <c:v>Fill Rate — AFTER (ABC-tiered, forecast-driven policy)</c:v>
                </c:pt>
              </c:strCache>
            </c:strRef>
          </c:cat>
          <c:val>
            <c:numRef>
              <c:f>Fill_Rate_Impact!$D$5:$D$6</c:f>
              <c:numCache>
                <c:formatCode>0.0%</c:formatCode>
                <c:ptCount val="2"/>
                <c:pt idx="0">
                  <c:v>0.74590000000000001</c:v>
                </c:pt>
                <c:pt idx="1">
                  <c:v>0.98740000000000006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D-4DA3-8080-DE71A2D44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21646"/>
        <c:axId val="90781523"/>
      </c:barChart>
      <c:catAx>
        <c:axId val="195216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781523"/>
        <c:crosses val="autoZero"/>
        <c:auto val="1"/>
        <c:lblAlgn val="ctr"/>
        <c:lblOffset val="100"/>
        <c:noMultiLvlLbl val="0"/>
      </c:catAx>
      <c:valAx>
        <c:axId val="907815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5216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Forecast Accuracy — WMAPE % by Model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Forecast_Model!$C$4</c:f>
              <c:strCache>
                <c:ptCount val="1"/>
                <c:pt idx="0">
                  <c:v>WMAPE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Forecast_Model!$B$5:$B$8</c:f>
              <c:strCache>
                <c:ptCount val="4"/>
                <c:pt idx="0">
                  <c:v>Naive (last week)</c:v>
                </c:pt>
                <c:pt idx="1">
                  <c:v>Moving Average (4wk)</c:v>
                </c:pt>
                <c:pt idx="2">
                  <c:v>Random Forest</c:v>
                </c:pt>
                <c:pt idx="3">
                  <c:v>Gradient Boosting</c:v>
                </c:pt>
              </c:strCache>
            </c:strRef>
          </c:cat>
          <c:val>
            <c:numRef>
              <c:f>Forecast_Model!$C$5:$C$8</c:f>
              <c:numCache>
                <c:formatCode>0.00</c:formatCode>
                <c:ptCount val="4"/>
                <c:pt idx="0">
                  <c:v>28.31</c:v>
                </c:pt>
                <c:pt idx="1">
                  <c:v>25.76</c:v>
                </c:pt>
                <c:pt idx="2">
                  <c:v>20.94</c:v>
                </c:pt>
                <c:pt idx="3">
                  <c:v>21.13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A-4D21-8E95-79F2A7A17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847508"/>
        <c:axId val="77627430"/>
      </c:barChart>
      <c:catAx>
        <c:axId val="988475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627430"/>
        <c:crosses val="autoZero"/>
        <c:auto val="1"/>
        <c:lblAlgn val="ctr"/>
        <c:lblOffset val="100"/>
        <c:noMultiLvlLbl val="0"/>
      </c:catAx>
      <c:valAx>
        <c:axId val="776274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WMAPE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8475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Mix by ABC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ABC_Analysis!$L$2</c:f>
              <c:strCache>
                <c:ptCount val="1"/>
                <c:pt idx="0">
                  <c:v>% of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B48-4F3B-9DF8-3C8B0DA7D68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B48-4F3B-9DF8-3C8B0DA7D68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B48-4F3B-9DF8-3C8B0DA7D68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BB48-4F3B-9DF8-3C8B0DA7D68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BB48-4F3B-9DF8-3C8B0DA7D68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BB48-4F3B-9DF8-3C8B0DA7D6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ABC_Analysis!$I$3:$I$5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ABC_Analysis!$L$3:$L$5</c:f>
              <c:numCache>
                <c:formatCode>0.0%</c:formatCode>
                <c:ptCount val="3"/>
                <c:pt idx="0">
                  <c:v>0.79882463981185214</c:v>
                </c:pt>
                <c:pt idx="1">
                  <c:v>0.15105534376210944</c:v>
                </c:pt>
                <c:pt idx="2">
                  <c:v>5.0120016426038333E-2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48-4F3B-9DF8-3C8B0DA7D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Reorder Alerts by Urgency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Dashboard!$E$30:$E$32</c:f>
              <c:strCache>
                <c:ptCount val="3"/>
                <c:pt idx="0">
                  <c:v>CRITICAL</c:v>
                </c:pt>
                <c:pt idx="1">
                  <c:v>HIGH</c:v>
                </c:pt>
                <c:pt idx="2">
                  <c:v>WATCH</c:v>
                </c:pt>
              </c:strCache>
            </c:strRef>
          </c:cat>
          <c:val>
            <c:numRef>
              <c:f>Dashboard!$F$30:$F$32</c:f>
              <c:numCache>
                <c:formatCode>General</c:formatCode>
                <c:ptCount val="3"/>
                <c:pt idx="0">
                  <c:v>43</c:v>
                </c:pt>
                <c:pt idx="1">
                  <c:v>26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1-4828-B0CD-B2FDFB7AF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819525"/>
        <c:axId val="53833887"/>
      </c:barChart>
      <c:catAx>
        <c:axId val="4681952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833887"/>
        <c:crosses val="autoZero"/>
        <c:auto val="1"/>
        <c:lblAlgn val="ctr"/>
        <c:lblOffset val="100"/>
        <c:noMultiLvlLbl val="0"/>
      </c:catAx>
      <c:valAx>
        <c:axId val="5383388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8195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Contribution by ABC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ABC_Analysis!$L$2</c:f>
              <c:strCache>
                <c:ptCount val="1"/>
                <c:pt idx="0">
                  <c:v>% of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5347-4D47-9AF9-9B91CB3DB03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347-4D47-9AF9-9B91CB3DB03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347-4D47-9AF9-9B91CB3DB03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5347-4D47-9AF9-9B91CB3DB03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5347-4D47-9AF9-9B91CB3DB03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5347-4D47-9AF9-9B91CB3DB0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ABC_Analysis!$I$3:$I$5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ABC_Analysis!$L$3:$L$5</c:f>
              <c:numCache>
                <c:formatCode>0.0%</c:formatCode>
                <c:ptCount val="3"/>
                <c:pt idx="0">
                  <c:v>0.79882463981185214</c:v>
                </c:pt>
                <c:pt idx="1">
                  <c:v>0.15105534376210944</c:v>
                </c:pt>
                <c:pt idx="2">
                  <c:v>5.0120016426038333E-2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47-4D47-9AF9-9B91CB3DB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Fill Rate: Before vs After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Fill_Rate_Impact!$B$5:$B$6</c:f>
              <c:strCache>
                <c:ptCount val="2"/>
                <c:pt idx="0">
                  <c:v>Fill Rate — BEFORE (naive weekly-review policy)</c:v>
                </c:pt>
                <c:pt idx="1">
                  <c:v>Fill Rate — AFTER (ABC-tiered, forecast-driven policy)</c:v>
                </c:pt>
              </c:strCache>
            </c:strRef>
          </c:cat>
          <c:val>
            <c:numRef>
              <c:f>Fill_Rate_Impact!$D$5:$D$6</c:f>
              <c:numCache>
                <c:formatCode>0.0%</c:formatCode>
                <c:ptCount val="2"/>
                <c:pt idx="0">
                  <c:v>0.74590000000000001</c:v>
                </c:pt>
                <c:pt idx="1">
                  <c:v>0.98740000000000006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2-43A5-8E28-F5E407DE3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661581"/>
        <c:axId val="82240868"/>
      </c:barChart>
      <c:catAx>
        <c:axId val="526615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240868"/>
        <c:crosses val="autoZero"/>
        <c:auto val="1"/>
        <c:lblAlgn val="ctr"/>
        <c:lblOffset val="100"/>
        <c:noMultiLvlLbl val="0"/>
      </c:catAx>
      <c:valAx>
        <c:axId val="822408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Fill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6615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Model Comparison — WMAPE % (lower is better)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Forecast_Model!$C$4</c:f>
              <c:strCache>
                <c:ptCount val="1"/>
                <c:pt idx="0">
                  <c:v>WMAPE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Forecast_Model!$B$5:$B$8</c:f>
              <c:strCache>
                <c:ptCount val="4"/>
                <c:pt idx="0">
                  <c:v>Naive (last week)</c:v>
                </c:pt>
                <c:pt idx="1">
                  <c:v>Moving Average (4wk)</c:v>
                </c:pt>
                <c:pt idx="2">
                  <c:v>Random Forest</c:v>
                </c:pt>
                <c:pt idx="3">
                  <c:v>Gradient Boosting</c:v>
                </c:pt>
              </c:strCache>
            </c:strRef>
          </c:cat>
          <c:val>
            <c:numRef>
              <c:f>Forecast_Model!$C$5:$C$8</c:f>
              <c:numCache>
                <c:formatCode>0.00</c:formatCode>
                <c:ptCount val="4"/>
                <c:pt idx="0">
                  <c:v>28.31</c:v>
                </c:pt>
                <c:pt idx="1">
                  <c:v>25.76</c:v>
                </c:pt>
                <c:pt idx="2">
                  <c:v>20.94</c:v>
                </c:pt>
                <c:pt idx="3">
                  <c:v>21.13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4-4B2C-8B08-6CCE4F6B5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964147"/>
        <c:axId val="38591773"/>
      </c:barChart>
      <c:catAx>
        <c:axId val="769641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591773"/>
        <c:crosses val="autoZero"/>
        <c:auto val="1"/>
        <c:lblAlgn val="ctr"/>
        <c:lblOffset val="100"/>
        <c:noMultiLvlLbl val="0"/>
      </c:catAx>
      <c:valAx>
        <c:axId val="385917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WMAPE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9641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130680</xdr:rowOff>
    </xdr:from>
    <xdr:to>
      <xdr:col>4</xdr:col>
      <xdr:colOff>450360</xdr:colOff>
      <xdr:row>27</xdr:row>
      <xdr:rowOff>153000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990599</xdr:colOff>
      <xdr:row>12</xdr:row>
      <xdr:rowOff>156080</xdr:rowOff>
    </xdr:from>
    <xdr:to>
      <xdr:col>14</xdr:col>
      <xdr:colOff>514612</xdr:colOff>
      <xdr:row>27</xdr:row>
      <xdr:rowOff>178400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228601</xdr:colOff>
      <xdr:row>36</xdr:row>
      <xdr:rowOff>97173</xdr:rowOff>
    </xdr:from>
    <xdr:to>
      <xdr:col>4</xdr:col>
      <xdr:colOff>678961</xdr:colOff>
      <xdr:row>50</xdr:row>
      <xdr:rowOff>110667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33867</xdr:colOff>
      <xdr:row>36</xdr:row>
      <xdr:rowOff>71413</xdr:rowOff>
    </xdr:from>
    <xdr:to>
      <xdr:col>10</xdr:col>
      <xdr:colOff>421480</xdr:colOff>
      <xdr:row>50</xdr:row>
      <xdr:rowOff>85267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556260</xdr:colOff>
      <xdr:row>11</xdr:row>
      <xdr:rowOff>17160</xdr:rowOff>
    </xdr:from>
    <xdr:to>
      <xdr:col>13</xdr:col>
      <xdr:colOff>286620</xdr:colOff>
      <xdr:row>26</xdr:row>
      <xdr:rowOff>39120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160560</xdr:rowOff>
    </xdr:from>
    <xdr:to>
      <xdr:col>3</xdr:col>
      <xdr:colOff>951480</xdr:colOff>
      <xdr:row>23</xdr:row>
      <xdr:rowOff>182880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160560</xdr:rowOff>
    </xdr:from>
    <xdr:to>
      <xdr:col>4</xdr:col>
      <xdr:colOff>387360</xdr:colOff>
      <xdr:row>26</xdr:row>
      <xdr:rowOff>182880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0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30" customWidth="1"/>
    <col min="3" max="3" width="95" customWidth="1"/>
  </cols>
  <sheetData>
    <row r="2" spans="2:3" ht="17.399999999999999" x14ac:dyDescent="0.3">
      <c r="B2" s="10" t="s">
        <v>0</v>
      </c>
    </row>
    <row r="3" spans="2:3" ht="30" customHeight="1" x14ac:dyDescent="0.3">
      <c r="B3" s="11" t="s">
        <v>1</v>
      </c>
    </row>
    <row r="5" spans="2:3" x14ac:dyDescent="0.3">
      <c r="B5" s="12" t="s">
        <v>2</v>
      </c>
      <c r="C5" s="13" t="s">
        <v>3</v>
      </c>
    </row>
    <row r="6" spans="2:3" x14ac:dyDescent="0.3">
      <c r="B6" s="14" t="s">
        <v>4</v>
      </c>
      <c r="C6" s="15" t="s">
        <v>5</v>
      </c>
    </row>
    <row r="7" spans="2:3" ht="27" x14ac:dyDescent="0.3">
      <c r="B7" s="14" t="s">
        <v>6</v>
      </c>
      <c r="C7" s="15" t="s">
        <v>7</v>
      </c>
    </row>
    <row r="8" spans="2:3" ht="27" x14ac:dyDescent="0.3">
      <c r="B8" s="14" t="s">
        <v>8</v>
      </c>
      <c r="C8" s="15" t="s">
        <v>9</v>
      </c>
    </row>
    <row r="9" spans="2:3" x14ac:dyDescent="0.3">
      <c r="B9" s="14" t="s">
        <v>10</v>
      </c>
      <c r="C9" s="15" t="s">
        <v>11</v>
      </c>
    </row>
    <row r="10" spans="2:3" ht="27" x14ac:dyDescent="0.3">
      <c r="B10" s="14" t="s">
        <v>12</v>
      </c>
      <c r="C10" s="15" t="s">
        <v>13</v>
      </c>
    </row>
    <row r="11" spans="2:3" ht="27" x14ac:dyDescent="0.3">
      <c r="B11" s="14" t="s">
        <v>14</v>
      </c>
      <c r="C11" s="15" t="s">
        <v>15</v>
      </c>
    </row>
    <row r="12" spans="2:3" ht="27" x14ac:dyDescent="0.3">
      <c r="B12" s="14" t="s">
        <v>16</v>
      </c>
      <c r="C12" s="15" t="s">
        <v>17</v>
      </c>
    </row>
    <row r="13" spans="2:3" x14ac:dyDescent="0.3">
      <c r="B13" s="14" t="s">
        <v>18</v>
      </c>
      <c r="C13" s="15" t="s">
        <v>19</v>
      </c>
    </row>
    <row r="15" spans="2:3" x14ac:dyDescent="0.3">
      <c r="B15" s="16" t="s">
        <v>20</v>
      </c>
    </row>
    <row r="16" spans="2:3" x14ac:dyDescent="0.3">
      <c r="B16" s="14" t="s">
        <v>21</v>
      </c>
    </row>
    <row r="17" spans="2:3" x14ac:dyDescent="0.3">
      <c r="B17" s="14" t="s">
        <v>22</v>
      </c>
    </row>
    <row r="19" spans="2:3" x14ac:dyDescent="0.3">
      <c r="B19" s="16" t="s">
        <v>23</v>
      </c>
    </row>
    <row r="20" spans="2:3" ht="15" customHeight="1" x14ac:dyDescent="0.3">
      <c r="B20" s="1" t="s">
        <v>24</v>
      </c>
      <c r="C20" s="1"/>
    </row>
  </sheetData>
  <mergeCells count="1">
    <mergeCell ref="B20:C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45"/>
  <sheetViews>
    <sheetView showGridLines="0" tabSelected="1" zoomScale="90" zoomScaleNormal="90" workbookViewId="0">
      <selection activeCell="G22" sqref="G22"/>
    </sheetView>
  </sheetViews>
  <sheetFormatPr defaultColWidth="8.6640625" defaultRowHeight="14.4" x14ac:dyDescent="0.3"/>
  <cols>
    <col min="1" max="1" width="3" customWidth="1"/>
    <col min="2" max="5" width="20" customWidth="1"/>
    <col min="6" max="6" width="4" customWidth="1"/>
    <col min="7" max="8" width="22" customWidth="1"/>
  </cols>
  <sheetData>
    <row r="2" spans="2:8" ht="21" x14ac:dyDescent="0.4">
      <c r="B2" s="9" t="s">
        <v>25</v>
      </c>
      <c r="C2" s="9"/>
      <c r="D2" s="9"/>
      <c r="E2" s="9"/>
      <c r="F2" s="9"/>
      <c r="G2" s="9"/>
      <c r="H2" s="9"/>
    </row>
    <row r="3" spans="2:8" x14ac:dyDescent="0.3">
      <c r="B3" s="8" t="s">
        <v>26</v>
      </c>
      <c r="C3" s="8"/>
      <c r="D3" s="8"/>
      <c r="E3" s="8"/>
      <c r="F3" s="8"/>
      <c r="G3" s="8"/>
      <c r="H3" s="8"/>
    </row>
    <row r="5" spans="2:8" x14ac:dyDescent="0.3">
      <c r="B5" s="7" t="s">
        <v>27</v>
      </c>
      <c r="C5" s="7"/>
      <c r="D5" s="7" t="s">
        <v>28</v>
      </c>
      <c r="E5" s="7"/>
      <c r="F5" s="7" t="s">
        <v>29</v>
      </c>
      <c r="G5" s="7"/>
    </row>
    <row r="6" spans="2:8" x14ac:dyDescent="0.3">
      <c r="B6" s="6">
        <v>150</v>
      </c>
      <c r="C6" s="6"/>
      <c r="D6" s="5">
        <f>Fill_Rate_Impact!D6</f>
        <v>0.98740000000000006</v>
      </c>
      <c r="E6" s="5"/>
      <c r="F6" s="4">
        <f>Forecast_Model!C7</f>
        <v>20.94</v>
      </c>
      <c r="G6" s="4"/>
    </row>
    <row r="7" spans="2:8" x14ac:dyDescent="0.3">
      <c r="B7" s="6"/>
      <c r="C7" s="6"/>
      <c r="D7" s="5"/>
      <c r="E7" s="5"/>
      <c r="F7" s="4"/>
      <c r="G7" s="4"/>
    </row>
    <row r="8" spans="2:8" x14ac:dyDescent="0.3">
      <c r="B8" s="3" t="s">
        <v>30</v>
      </c>
      <c r="C8" s="3"/>
      <c r="D8" s="3" t="s">
        <v>31</v>
      </c>
      <c r="E8" s="3"/>
      <c r="F8" s="3" t="s">
        <v>32</v>
      </c>
      <c r="G8" s="3"/>
    </row>
    <row r="9" spans="2:8" x14ac:dyDescent="0.3">
      <c r="B9" s="7" t="s">
        <v>33</v>
      </c>
      <c r="C9" s="7"/>
      <c r="D9" s="7" t="s">
        <v>34</v>
      </c>
      <c r="E9" s="7"/>
      <c r="F9" s="7" t="s">
        <v>35</v>
      </c>
      <c r="G9" s="7"/>
    </row>
    <row r="10" spans="2:8" x14ac:dyDescent="0.3">
      <c r="B10" s="6">
        <v>123</v>
      </c>
      <c r="C10" s="6"/>
      <c r="D10" s="6">
        <v>43</v>
      </c>
      <c r="E10" s="6"/>
      <c r="F10" s="6" t="s">
        <v>36</v>
      </c>
      <c r="G10" s="6"/>
    </row>
    <row r="11" spans="2:8" x14ac:dyDescent="0.3">
      <c r="B11" s="6"/>
      <c r="C11" s="6"/>
      <c r="D11" s="6"/>
      <c r="E11" s="6"/>
      <c r="F11" s="6"/>
      <c r="G11" s="6"/>
    </row>
    <row r="12" spans="2:8" x14ac:dyDescent="0.3">
      <c r="B12" s="3" t="s">
        <v>37</v>
      </c>
      <c r="C12" s="3"/>
      <c r="D12" s="3" t="s">
        <v>38</v>
      </c>
      <c r="E12" s="3"/>
      <c r="F12" s="3" t="s">
        <v>39</v>
      </c>
      <c r="G12" s="3"/>
    </row>
    <row r="29" spans="5:6" x14ac:dyDescent="0.3">
      <c r="E29" s="16" t="s">
        <v>40</v>
      </c>
    </row>
    <row r="30" spans="5:6" x14ac:dyDescent="0.3">
      <c r="E30" s="14" t="s">
        <v>41</v>
      </c>
      <c r="F30" s="14">
        <f>COUNTIF(Reorder_Alerts!$I:$I,E30)</f>
        <v>43</v>
      </c>
    </row>
    <row r="31" spans="5:6" x14ac:dyDescent="0.3">
      <c r="E31" s="14" t="s">
        <v>42</v>
      </c>
      <c r="F31" s="14">
        <f>COUNTIF(Reorder_Alerts!$I:$I,E31)</f>
        <v>26</v>
      </c>
    </row>
    <row r="32" spans="5:6" x14ac:dyDescent="0.3">
      <c r="E32" s="14" t="s">
        <v>43</v>
      </c>
      <c r="F32" s="14">
        <f>COUNTIF(Reorder_Alerts!$I:$I,E32)</f>
        <v>54</v>
      </c>
    </row>
    <row r="45" spans="2:8" ht="30" customHeight="1" x14ac:dyDescent="0.3">
      <c r="B45" s="2"/>
      <c r="C45" s="2"/>
      <c r="D45" s="2"/>
      <c r="E45" s="2"/>
      <c r="F45" s="2"/>
      <c r="G45" s="2"/>
      <c r="H45" s="2"/>
    </row>
  </sheetData>
  <mergeCells count="21">
    <mergeCell ref="B12:C12"/>
    <mergeCell ref="D12:E12"/>
    <mergeCell ref="F12:G12"/>
    <mergeCell ref="B45:H45"/>
    <mergeCell ref="B9:C9"/>
    <mergeCell ref="D9:E9"/>
    <mergeCell ref="F9:G9"/>
    <mergeCell ref="B10:C11"/>
    <mergeCell ref="D10:E11"/>
    <mergeCell ref="F10:G11"/>
    <mergeCell ref="B6:C7"/>
    <mergeCell ref="D6:E7"/>
    <mergeCell ref="F6:G7"/>
    <mergeCell ref="B8:C8"/>
    <mergeCell ref="D8:E8"/>
    <mergeCell ref="F8:G8"/>
    <mergeCell ref="B2:H2"/>
    <mergeCell ref="B3:H3"/>
    <mergeCell ref="B5:C5"/>
    <mergeCell ref="D5:E5"/>
    <mergeCell ref="F5:G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1"/>
  <sheetViews>
    <sheetView zoomScaleNormal="100" workbookViewId="0">
      <pane ySplit="1" topLeftCell="A56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26" customWidth="1"/>
    <col min="3" max="3" width="20" customWidth="1"/>
    <col min="4" max="6" width="15" customWidth="1"/>
    <col min="7" max="7" width="12" customWidth="1"/>
    <col min="8" max="8" width="20" customWidth="1"/>
    <col min="9" max="9" width="16" customWidth="1"/>
    <col min="10" max="10" width="20" customWidth="1"/>
    <col min="11" max="11" width="45" customWidth="1"/>
  </cols>
  <sheetData>
    <row r="1" spans="1:11" ht="26.4" x14ac:dyDescent="0.3">
      <c r="A1" s="18" t="s">
        <v>44</v>
      </c>
      <c r="B1" s="18" t="s">
        <v>45</v>
      </c>
      <c r="C1" s="18" t="s">
        <v>46</v>
      </c>
      <c r="D1" s="18" t="s">
        <v>47</v>
      </c>
      <c r="E1" s="18" t="s">
        <v>48</v>
      </c>
      <c r="F1" s="18" t="s">
        <v>49</v>
      </c>
      <c r="G1" s="18" t="s">
        <v>50</v>
      </c>
      <c r="H1" s="18" t="s">
        <v>51</v>
      </c>
      <c r="I1" s="18" t="s">
        <v>52</v>
      </c>
      <c r="J1" s="18" t="s">
        <v>53</v>
      </c>
      <c r="K1" s="18" t="s">
        <v>54</v>
      </c>
    </row>
    <row r="2" spans="1:11" x14ac:dyDescent="0.3">
      <c r="A2" s="19" t="s">
        <v>55</v>
      </c>
      <c r="B2" s="19" t="s">
        <v>56</v>
      </c>
      <c r="C2" s="19" t="s">
        <v>57</v>
      </c>
      <c r="D2" s="20">
        <v>48.25</v>
      </c>
      <c r="E2" s="20">
        <v>66.67</v>
      </c>
      <c r="F2" s="19">
        <v>2</v>
      </c>
      <c r="G2" s="19">
        <v>50</v>
      </c>
      <c r="H2" s="19">
        <v>36</v>
      </c>
      <c r="I2" s="19">
        <v>352</v>
      </c>
      <c r="J2" s="19" t="s">
        <v>58</v>
      </c>
      <c r="K2" s="19" t="s">
        <v>59</v>
      </c>
    </row>
    <row r="3" spans="1:11" x14ac:dyDescent="0.3">
      <c r="A3" s="19" t="s">
        <v>60</v>
      </c>
      <c r="B3" s="19" t="s">
        <v>61</v>
      </c>
      <c r="C3" s="19" t="s">
        <v>57</v>
      </c>
      <c r="D3" s="20">
        <v>27.28</v>
      </c>
      <c r="E3" s="20">
        <v>41.68</v>
      </c>
      <c r="F3" s="19">
        <v>7</v>
      </c>
      <c r="G3" s="19">
        <v>25</v>
      </c>
      <c r="H3" s="19">
        <v>36</v>
      </c>
      <c r="I3" s="19">
        <v>345</v>
      </c>
      <c r="J3" s="19" t="s">
        <v>58</v>
      </c>
      <c r="K3" s="19" t="s">
        <v>62</v>
      </c>
    </row>
    <row r="4" spans="1:11" x14ac:dyDescent="0.3">
      <c r="A4" s="19" t="s">
        <v>63</v>
      </c>
      <c r="B4" s="19" t="s">
        <v>64</v>
      </c>
      <c r="C4" s="19" t="s">
        <v>57</v>
      </c>
      <c r="D4" s="20">
        <v>51.04</v>
      </c>
      <c r="E4" s="20">
        <v>73.47</v>
      </c>
      <c r="F4" s="19">
        <v>7</v>
      </c>
      <c r="G4" s="19">
        <v>20</v>
      </c>
      <c r="H4" s="19">
        <v>24</v>
      </c>
      <c r="I4" s="19">
        <v>342</v>
      </c>
      <c r="J4" s="19" t="s">
        <v>65</v>
      </c>
      <c r="K4" s="19" t="s">
        <v>66</v>
      </c>
    </row>
    <row r="5" spans="1:11" x14ac:dyDescent="0.3">
      <c r="A5" s="19" t="s">
        <v>67</v>
      </c>
      <c r="B5" s="19" t="s">
        <v>68</v>
      </c>
      <c r="C5" s="19" t="s">
        <v>57</v>
      </c>
      <c r="D5" s="20">
        <v>16.02</v>
      </c>
      <c r="E5" s="20">
        <v>23.31</v>
      </c>
      <c r="F5" s="19">
        <v>10</v>
      </c>
      <c r="G5" s="19">
        <v>20</v>
      </c>
      <c r="H5" s="19">
        <v>24</v>
      </c>
      <c r="I5" s="19">
        <v>358</v>
      </c>
      <c r="J5" s="19" t="s">
        <v>58</v>
      </c>
      <c r="K5" s="19" t="s">
        <v>66</v>
      </c>
    </row>
    <row r="6" spans="1:11" x14ac:dyDescent="0.3">
      <c r="A6" s="19" t="s">
        <v>69</v>
      </c>
      <c r="B6" s="19" t="s">
        <v>70</v>
      </c>
      <c r="C6" s="19" t="s">
        <v>57</v>
      </c>
      <c r="D6" s="20">
        <v>32.74</v>
      </c>
      <c r="E6" s="20">
        <v>43.15</v>
      </c>
      <c r="F6" s="19">
        <v>14</v>
      </c>
      <c r="G6" s="19">
        <v>25</v>
      </c>
      <c r="H6" s="19">
        <v>36</v>
      </c>
      <c r="I6" s="19">
        <v>334</v>
      </c>
      <c r="J6" s="19" t="s">
        <v>71</v>
      </c>
      <c r="K6" s="19" t="s">
        <v>72</v>
      </c>
    </row>
    <row r="7" spans="1:11" x14ac:dyDescent="0.3">
      <c r="A7" s="19" t="s">
        <v>73</v>
      </c>
      <c r="B7" s="19" t="s">
        <v>74</v>
      </c>
      <c r="C7" s="19" t="s">
        <v>57</v>
      </c>
      <c r="D7" s="20">
        <v>22.99</v>
      </c>
      <c r="E7" s="20">
        <v>33.44</v>
      </c>
      <c r="F7" s="19">
        <v>2</v>
      </c>
      <c r="G7" s="19">
        <v>100</v>
      </c>
      <c r="H7" s="19">
        <v>30</v>
      </c>
      <c r="I7" s="19">
        <v>331</v>
      </c>
      <c r="J7" s="19" t="s">
        <v>75</v>
      </c>
      <c r="K7" s="19" t="s">
        <v>59</v>
      </c>
    </row>
    <row r="8" spans="1:11" x14ac:dyDescent="0.3">
      <c r="A8" s="19" t="s">
        <v>76</v>
      </c>
      <c r="B8" s="19" t="s">
        <v>77</v>
      </c>
      <c r="C8" s="19" t="s">
        <v>57</v>
      </c>
      <c r="D8" s="20">
        <v>31.86</v>
      </c>
      <c r="E8" s="20">
        <v>45.26</v>
      </c>
      <c r="F8" s="19">
        <v>3</v>
      </c>
      <c r="G8" s="19">
        <v>10</v>
      </c>
      <c r="H8" s="19">
        <v>24</v>
      </c>
      <c r="I8" s="19">
        <v>283</v>
      </c>
      <c r="J8" s="19" t="s">
        <v>58</v>
      </c>
      <c r="K8" s="19" t="s">
        <v>62</v>
      </c>
    </row>
    <row r="9" spans="1:11" x14ac:dyDescent="0.3">
      <c r="A9" s="19" t="s">
        <v>78</v>
      </c>
      <c r="B9" s="19" t="s">
        <v>79</v>
      </c>
      <c r="C9" s="19" t="s">
        <v>57</v>
      </c>
      <c r="D9" s="20">
        <v>36.79</v>
      </c>
      <c r="E9" s="20">
        <v>52.16</v>
      </c>
      <c r="F9" s="19">
        <v>4</v>
      </c>
      <c r="G9" s="19">
        <v>50</v>
      </c>
      <c r="H9" s="19">
        <v>42</v>
      </c>
      <c r="I9" s="19">
        <v>346</v>
      </c>
      <c r="J9" s="19" t="s">
        <v>75</v>
      </c>
      <c r="K9" s="19" t="s">
        <v>80</v>
      </c>
    </row>
    <row r="10" spans="1:11" x14ac:dyDescent="0.3">
      <c r="A10" s="19" t="s">
        <v>81</v>
      </c>
      <c r="B10" s="19" t="s">
        <v>82</v>
      </c>
      <c r="C10" s="19" t="s">
        <v>57</v>
      </c>
      <c r="D10" s="20">
        <v>11.03</v>
      </c>
      <c r="E10" s="20">
        <v>14.72</v>
      </c>
      <c r="F10" s="19">
        <v>5</v>
      </c>
      <c r="G10" s="19">
        <v>50</v>
      </c>
      <c r="H10" s="19">
        <v>48</v>
      </c>
      <c r="I10" s="19">
        <v>298</v>
      </c>
      <c r="J10" s="19" t="s">
        <v>58</v>
      </c>
      <c r="K10" s="19" t="s">
        <v>59</v>
      </c>
    </row>
    <row r="11" spans="1:11" x14ac:dyDescent="0.3">
      <c r="A11" s="19" t="s">
        <v>83</v>
      </c>
      <c r="B11" s="19" t="s">
        <v>84</v>
      </c>
      <c r="C11" s="19" t="s">
        <v>57</v>
      </c>
      <c r="D11" s="20">
        <v>9.18</v>
      </c>
      <c r="E11" s="20">
        <v>11.72</v>
      </c>
      <c r="F11" s="19">
        <v>10</v>
      </c>
      <c r="G11" s="19">
        <v>50</v>
      </c>
      <c r="H11" s="19">
        <v>24</v>
      </c>
      <c r="I11" s="19">
        <v>344</v>
      </c>
      <c r="J11" s="19" t="s">
        <v>75</v>
      </c>
      <c r="K11" s="19" t="s">
        <v>80</v>
      </c>
    </row>
    <row r="12" spans="1:11" x14ac:dyDescent="0.3">
      <c r="A12" s="19" t="s">
        <v>85</v>
      </c>
      <c r="B12" s="19" t="s">
        <v>86</v>
      </c>
      <c r="C12" s="19" t="s">
        <v>57</v>
      </c>
      <c r="D12" s="20">
        <v>27.81</v>
      </c>
      <c r="E12" s="20">
        <v>37.28</v>
      </c>
      <c r="F12" s="19">
        <v>7</v>
      </c>
      <c r="G12" s="19">
        <v>20</v>
      </c>
      <c r="H12" s="19">
        <v>42</v>
      </c>
      <c r="I12" s="19">
        <v>330</v>
      </c>
      <c r="J12" s="19" t="s">
        <v>75</v>
      </c>
      <c r="K12" s="19" t="s">
        <v>87</v>
      </c>
    </row>
    <row r="13" spans="1:11" x14ac:dyDescent="0.3">
      <c r="A13" s="19" t="s">
        <v>88</v>
      </c>
      <c r="B13" s="19" t="s">
        <v>89</v>
      </c>
      <c r="C13" s="19" t="s">
        <v>57</v>
      </c>
      <c r="D13" s="20">
        <v>44.38</v>
      </c>
      <c r="E13" s="20">
        <v>59.01</v>
      </c>
      <c r="F13" s="19">
        <v>14</v>
      </c>
      <c r="G13" s="19">
        <v>20</v>
      </c>
      <c r="H13" s="19">
        <v>48</v>
      </c>
      <c r="I13" s="19">
        <v>343</v>
      </c>
      <c r="J13" s="19" t="s">
        <v>71</v>
      </c>
      <c r="K13" s="19" t="s">
        <v>80</v>
      </c>
    </row>
    <row r="14" spans="1:11" x14ac:dyDescent="0.3">
      <c r="A14" s="19" t="s">
        <v>90</v>
      </c>
      <c r="B14" s="19" t="s">
        <v>91</v>
      </c>
      <c r="C14" s="19" t="s">
        <v>57</v>
      </c>
      <c r="D14" s="20">
        <v>31.7</v>
      </c>
      <c r="E14" s="20">
        <v>41.55</v>
      </c>
      <c r="F14" s="19">
        <v>10</v>
      </c>
      <c r="G14" s="19">
        <v>25</v>
      </c>
      <c r="H14" s="19">
        <v>42</v>
      </c>
      <c r="I14" s="19">
        <v>299</v>
      </c>
      <c r="J14" s="19" t="s">
        <v>75</v>
      </c>
      <c r="K14" s="19" t="s">
        <v>66</v>
      </c>
    </row>
    <row r="15" spans="1:11" x14ac:dyDescent="0.3">
      <c r="A15" s="19" t="s">
        <v>92</v>
      </c>
      <c r="B15" s="19" t="s">
        <v>93</v>
      </c>
      <c r="C15" s="19" t="s">
        <v>57</v>
      </c>
      <c r="D15" s="20">
        <v>38.369999999999997</v>
      </c>
      <c r="E15" s="20">
        <v>55.44</v>
      </c>
      <c r="F15" s="19">
        <v>2</v>
      </c>
      <c r="G15" s="19">
        <v>50</v>
      </c>
      <c r="H15" s="19">
        <v>42</v>
      </c>
      <c r="I15" s="19">
        <v>330</v>
      </c>
      <c r="J15" s="19" t="s">
        <v>75</v>
      </c>
      <c r="K15" s="19" t="s">
        <v>94</v>
      </c>
    </row>
    <row r="16" spans="1:11" x14ac:dyDescent="0.3">
      <c r="A16" s="19" t="s">
        <v>95</v>
      </c>
      <c r="B16" s="19" t="s">
        <v>96</v>
      </c>
      <c r="C16" s="19" t="s">
        <v>57</v>
      </c>
      <c r="D16" s="20">
        <v>15.52</v>
      </c>
      <c r="E16" s="20">
        <v>19.88</v>
      </c>
      <c r="F16" s="19">
        <v>10</v>
      </c>
      <c r="G16" s="19">
        <v>10</v>
      </c>
      <c r="H16" s="19">
        <v>24</v>
      </c>
      <c r="I16" s="19">
        <v>326</v>
      </c>
      <c r="J16" s="19" t="s">
        <v>97</v>
      </c>
      <c r="K16" s="19" t="s">
        <v>98</v>
      </c>
    </row>
    <row r="17" spans="1:11" x14ac:dyDescent="0.3">
      <c r="A17" s="19" t="s">
        <v>99</v>
      </c>
      <c r="B17" s="19" t="s">
        <v>100</v>
      </c>
      <c r="C17" s="19" t="s">
        <v>57</v>
      </c>
      <c r="D17" s="20">
        <v>57.85</v>
      </c>
      <c r="E17" s="20">
        <v>80.680000000000007</v>
      </c>
      <c r="F17" s="19">
        <v>10</v>
      </c>
      <c r="G17" s="19">
        <v>10</v>
      </c>
      <c r="H17" s="19">
        <v>24</v>
      </c>
      <c r="I17" s="19">
        <v>314</v>
      </c>
      <c r="J17" s="19" t="s">
        <v>75</v>
      </c>
      <c r="K17" s="19" t="s">
        <v>101</v>
      </c>
    </row>
    <row r="18" spans="1:11" x14ac:dyDescent="0.3">
      <c r="A18" s="19" t="s">
        <v>102</v>
      </c>
      <c r="B18" s="19" t="s">
        <v>103</v>
      </c>
      <c r="C18" s="19" t="s">
        <v>57</v>
      </c>
      <c r="D18" s="20">
        <v>21.88</v>
      </c>
      <c r="E18" s="20">
        <v>29.53</v>
      </c>
      <c r="F18" s="19">
        <v>10</v>
      </c>
      <c r="G18" s="19">
        <v>25</v>
      </c>
      <c r="H18" s="19">
        <v>36</v>
      </c>
      <c r="I18" s="19">
        <v>319</v>
      </c>
      <c r="J18" s="19" t="s">
        <v>75</v>
      </c>
      <c r="K18" s="19" t="s">
        <v>72</v>
      </c>
    </row>
    <row r="19" spans="1:11" x14ac:dyDescent="0.3">
      <c r="A19" s="19" t="s">
        <v>104</v>
      </c>
      <c r="B19" s="19" t="s">
        <v>105</v>
      </c>
      <c r="C19" s="19" t="s">
        <v>57</v>
      </c>
      <c r="D19" s="20">
        <v>42.96</v>
      </c>
      <c r="E19" s="20">
        <v>57.32</v>
      </c>
      <c r="F19" s="19">
        <v>7</v>
      </c>
      <c r="G19" s="19">
        <v>50</v>
      </c>
      <c r="H19" s="19">
        <v>24</v>
      </c>
      <c r="I19" s="19">
        <v>293</v>
      </c>
      <c r="J19" s="19" t="s">
        <v>71</v>
      </c>
      <c r="K19" s="19" t="s">
        <v>106</v>
      </c>
    </row>
    <row r="20" spans="1:11" x14ac:dyDescent="0.3">
      <c r="A20" s="19" t="s">
        <v>107</v>
      </c>
      <c r="B20" s="19" t="s">
        <v>108</v>
      </c>
      <c r="C20" s="19" t="s">
        <v>57</v>
      </c>
      <c r="D20" s="20">
        <v>19.97</v>
      </c>
      <c r="E20" s="20">
        <v>25.19</v>
      </c>
      <c r="F20" s="19">
        <v>5</v>
      </c>
      <c r="G20" s="19">
        <v>20</v>
      </c>
      <c r="H20" s="19">
        <v>24</v>
      </c>
      <c r="I20" s="19">
        <v>323</v>
      </c>
      <c r="J20" s="19" t="s">
        <v>65</v>
      </c>
      <c r="K20" s="19" t="s">
        <v>101</v>
      </c>
    </row>
    <row r="21" spans="1:11" x14ac:dyDescent="0.3">
      <c r="A21" s="19" t="s">
        <v>109</v>
      </c>
      <c r="B21" s="19" t="s">
        <v>110</v>
      </c>
      <c r="C21" s="19" t="s">
        <v>57</v>
      </c>
      <c r="D21" s="20">
        <v>21.31</v>
      </c>
      <c r="E21" s="20">
        <v>32.619999999999997</v>
      </c>
      <c r="F21" s="19">
        <v>3</v>
      </c>
      <c r="G21" s="19">
        <v>25</v>
      </c>
      <c r="H21" s="19">
        <v>36</v>
      </c>
      <c r="I21" s="19">
        <v>287</v>
      </c>
      <c r="J21" s="19" t="s">
        <v>75</v>
      </c>
      <c r="K21" s="19" t="s">
        <v>101</v>
      </c>
    </row>
    <row r="22" spans="1:11" x14ac:dyDescent="0.3">
      <c r="A22" s="19" t="s">
        <v>111</v>
      </c>
      <c r="B22" s="19" t="s">
        <v>112</v>
      </c>
      <c r="C22" s="19" t="s">
        <v>57</v>
      </c>
      <c r="D22" s="20">
        <v>54.46</v>
      </c>
      <c r="E22" s="20">
        <v>76.55</v>
      </c>
      <c r="F22" s="19">
        <v>2</v>
      </c>
      <c r="G22" s="19">
        <v>50</v>
      </c>
      <c r="H22" s="19">
        <v>36</v>
      </c>
      <c r="I22" s="19">
        <v>300</v>
      </c>
      <c r="J22" s="19" t="s">
        <v>75</v>
      </c>
      <c r="K22" s="19" t="s">
        <v>62</v>
      </c>
    </row>
    <row r="23" spans="1:11" x14ac:dyDescent="0.3">
      <c r="A23" s="19" t="s">
        <v>113</v>
      </c>
      <c r="B23" s="19" t="s">
        <v>114</v>
      </c>
      <c r="C23" s="19" t="s">
        <v>57</v>
      </c>
      <c r="D23" s="20">
        <v>56.71</v>
      </c>
      <c r="E23" s="20">
        <v>74.989999999999995</v>
      </c>
      <c r="F23" s="19">
        <v>2</v>
      </c>
      <c r="G23" s="19">
        <v>10</v>
      </c>
      <c r="H23" s="19">
        <v>30</v>
      </c>
      <c r="I23" s="19">
        <v>273</v>
      </c>
      <c r="J23" s="19" t="s">
        <v>58</v>
      </c>
      <c r="K23" s="19" t="s">
        <v>66</v>
      </c>
    </row>
    <row r="24" spans="1:11" x14ac:dyDescent="0.3">
      <c r="A24" s="19" t="s">
        <v>115</v>
      </c>
      <c r="B24" s="19" t="s">
        <v>116</v>
      </c>
      <c r="C24" s="19" t="s">
        <v>57</v>
      </c>
      <c r="D24" s="20">
        <v>24.14</v>
      </c>
      <c r="E24" s="20">
        <v>35.799999999999997</v>
      </c>
      <c r="F24" s="19">
        <v>5</v>
      </c>
      <c r="G24" s="19">
        <v>25</v>
      </c>
      <c r="H24" s="19">
        <v>30</v>
      </c>
      <c r="I24" s="19">
        <v>363</v>
      </c>
      <c r="J24" s="19" t="s">
        <v>58</v>
      </c>
      <c r="K24" s="19" t="s">
        <v>94</v>
      </c>
    </row>
    <row r="25" spans="1:11" x14ac:dyDescent="0.3">
      <c r="A25" s="19" t="s">
        <v>117</v>
      </c>
      <c r="B25" s="19" t="s">
        <v>118</v>
      </c>
      <c r="C25" s="19" t="s">
        <v>57</v>
      </c>
      <c r="D25" s="20">
        <v>43.24</v>
      </c>
      <c r="E25" s="20">
        <v>55.63</v>
      </c>
      <c r="F25" s="19">
        <v>5</v>
      </c>
      <c r="G25" s="19">
        <v>100</v>
      </c>
      <c r="H25" s="19">
        <v>24</v>
      </c>
      <c r="I25" s="19">
        <v>298</v>
      </c>
      <c r="J25" s="19" t="s">
        <v>58</v>
      </c>
      <c r="K25" s="19" t="s">
        <v>119</v>
      </c>
    </row>
    <row r="26" spans="1:11" x14ac:dyDescent="0.3">
      <c r="A26" s="19" t="s">
        <v>120</v>
      </c>
      <c r="B26" s="19" t="s">
        <v>121</v>
      </c>
      <c r="C26" s="19" t="s">
        <v>57</v>
      </c>
      <c r="D26" s="20">
        <v>46.43</v>
      </c>
      <c r="E26" s="20">
        <v>59.86</v>
      </c>
      <c r="F26" s="19">
        <v>5</v>
      </c>
      <c r="G26" s="19">
        <v>100</v>
      </c>
      <c r="H26" s="19">
        <v>36</v>
      </c>
      <c r="I26" s="19">
        <v>281</v>
      </c>
      <c r="J26" s="19" t="s">
        <v>58</v>
      </c>
      <c r="K26" s="19" t="s">
        <v>122</v>
      </c>
    </row>
    <row r="27" spans="1:11" x14ac:dyDescent="0.3">
      <c r="A27" s="19" t="s">
        <v>123</v>
      </c>
      <c r="B27" s="19" t="s">
        <v>124</v>
      </c>
      <c r="C27" s="19" t="s">
        <v>57</v>
      </c>
      <c r="D27" s="20">
        <v>57.69</v>
      </c>
      <c r="E27" s="20">
        <v>77.069999999999993</v>
      </c>
      <c r="F27" s="19">
        <v>14</v>
      </c>
      <c r="G27" s="19">
        <v>25</v>
      </c>
      <c r="H27" s="19">
        <v>42</v>
      </c>
      <c r="I27" s="19">
        <v>362</v>
      </c>
      <c r="J27" s="19" t="s">
        <v>75</v>
      </c>
      <c r="K27" s="19" t="s">
        <v>125</v>
      </c>
    </row>
    <row r="28" spans="1:11" x14ac:dyDescent="0.3">
      <c r="A28" s="19" t="s">
        <v>126</v>
      </c>
      <c r="B28" s="19" t="s">
        <v>127</v>
      </c>
      <c r="C28" s="19" t="s">
        <v>57</v>
      </c>
      <c r="D28" s="20">
        <v>15.3</v>
      </c>
      <c r="E28" s="20">
        <v>21.05</v>
      </c>
      <c r="F28" s="19">
        <v>3</v>
      </c>
      <c r="G28" s="19">
        <v>25</v>
      </c>
      <c r="H28" s="19">
        <v>24</v>
      </c>
      <c r="I28" s="19">
        <v>362</v>
      </c>
      <c r="J28" s="19" t="s">
        <v>71</v>
      </c>
      <c r="K28" s="19" t="s">
        <v>66</v>
      </c>
    </row>
    <row r="29" spans="1:11" x14ac:dyDescent="0.3">
      <c r="A29" s="19" t="s">
        <v>128</v>
      </c>
      <c r="B29" s="19" t="s">
        <v>129</v>
      </c>
      <c r="C29" s="19" t="s">
        <v>57</v>
      </c>
      <c r="D29" s="20">
        <v>51.13</v>
      </c>
      <c r="E29" s="20">
        <v>76.13</v>
      </c>
      <c r="F29" s="19">
        <v>3</v>
      </c>
      <c r="G29" s="19">
        <v>20</v>
      </c>
      <c r="H29" s="19">
        <v>24</v>
      </c>
      <c r="I29" s="19">
        <v>314</v>
      </c>
      <c r="J29" s="19" t="s">
        <v>58</v>
      </c>
      <c r="K29" s="19" t="s">
        <v>59</v>
      </c>
    </row>
    <row r="30" spans="1:11" x14ac:dyDescent="0.3">
      <c r="A30" s="19" t="s">
        <v>130</v>
      </c>
      <c r="B30" s="19" t="s">
        <v>131</v>
      </c>
      <c r="C30" s="19" t="s">
        <v>57</v>
      </c>
      <c r="D30" s="20">
        <v>30.15</v>
      </c>
      <c r="E30" s="20">
        <v>43.58</v>
      </c>
      <c r="F30" s="19">
        <v>3</v>
      </c>
      <c r="G30" s="19">
        <v>25</v>
      </c>
      <c r="H30" s="19">
        <v>48</v>
      </c>
      <c r="I30" s="19">
        <v>353</v>
      </c>
      <c r="J30" s="19" t="s">
        <v>75</v>
      </c>
      <c r="K30" s="19" t="s">
        <v>132</v>
      </c>
    </row>
    <row r="31" spans="1:11" x14ac:dyDescent="0.3">
      <c r="A31" s="19" t="s">
        <v>133</v>
      </c>
      <c r="B31" s="19" t="s">
        <v>134</v>
      </c>
      <c r="C31" s="19" t="s">
        <v>57</v>
      </c>
      <c r="D31" s="20">
        <v>13.47</v>
      </c>
      <c r="E31" s="20">
        <v>17.11</v>
      </c>
      <c r="F31" s="19">
        <v>7</v>
      </c>
      <c r="G31" s="19">
        <v>20</v>
      </c>
      <c r="H31" s="19">
        <v>48</v>
      </c>
      <c r="I31" s="19">
        <v>315</v>
      </c>
      <c r="J31" s="19" t="s">
        <v>75</v>
      </c>
      <c r="K31" s="19" t="s">
        <v>87</v>
      </c>
    </row>
    <row r="32" spans="1:11" x14ac:dyDescent="0.3">
      <c r="A32" s="19" t="s">
        <v>135</v>
      </c>
      <c r="B32" s="19" t="s">
        <v>136</v>
      </c>
      <c r="C32" s="19" t="s">
        <v>137</v>
      </c>
      <c r="D32" s="20">
        <v>83.68</v>
      </c>
      <c r="E32" s="20">
        <v>112.94</v>
      </c>
      <c r="F32" s="19">
        <v>7</v>
      </c>
      <c r="G32" s="19">
        <v>10</v>
      </c>
      <c r="H32" s="19">
        <v>24</v>
      </c>
      <c r="I32" s="19">
        <v>205</v>
      </c>
      <c r="J32" s="19" t="s">
        <v>58</v>
      </c>
      <c r="K32" s="19" t="s">
        <v>122</v>
      </c>
    </row>
    <row r="33" spans="1:11" x14ac:dyDescent="0.3">
      <c r="A33" s="19" t="s">
        <v>138</v>
      </c>
      <c r="B33" s="19" t="s">
        <v>139</v>
      </c>
      <c r="C33" s="19" t="s">
        <v>137</v>
      </c>
      <c r="D33" s="20">
        <v>14.27</v>
      </c>
      <c r="E33" s="20">
        <v>21.08</v>
      </c>
      <c r="F33" s="19">
        <v>7</v>
      </c>
      <c r="G33" s="19">
        <v>100</v>
      </c>
      <c r="H33" s="19">
        <v>24</v>
      </c>
      <c r="I33" s="19">
        <v>226</v>
      </c>
      <c r="J33" s="19" t="s">
        <v>71</v>
      </c>
      <c r="K33" s="19" t="s">
        <v>59</v>
      </c>
    </row>
    <row r="34" spans="1:11" x14ac:dyDescent="0.3">
      <c r="A34" s="19" t="s">
        <v>140</v>
      </c>
      <c r="B34" s="19" t="s">
        <v>141</v>
      </c>
      <c r="C34" s="19" t="s">
        <v>137</v>
      </c>
      <c r="D34" s="20">
        <v>24.52</v>
      </c>
      <c r="E34" s="20">
        <v>33.619999999999997</v>
      </c>
      <c r="F34" s="19">
        <v>7</v>
      </c>
      <c r="G34" s="19">
        <v>25</v>
      </c>
      <c r="H34" s="19">
        <v>30</v>
      </c>
      <c r="I34" s="19">
        <v>202</v>
      </c>
      <c r="J34" s="19" t="s">
        <v>71</v>
      </c>
      <c r="K34" s="19" t="s">
        <v>94</v>
      </c>
    </row>
    <row r="35" spans="1:11" x14ac:dyDescent="0.3">
      <c r="A35" s="19" t="s">
        <v>142</v>
      </c>
      <c r="B35" s="19" t="s">
        <v>143</v>
      </c>
      <c r="C35" s="19" t="s">
        <v>137</v>
      </c>
      <c r="D35" s="20">
        <v>18.13</v>
      </c>
      <c r="E35" s="20">
        <v>28.1</v>
      </c>
      <c r="F35" s="19">
        <v>2</v>
      </c>
      <c r="G35" s="19">
        <v>25</v>
      </c>
      <c r="H35" s="19">
        <v>36</v>
      </c>
      <c r="I35" s="19">
        <v>189</v>
      </c>
      <c r="J35" s="19" t="s">
        <v>58</v>
      </c>
      <c r="K35" s="19" t="s">
        <v>59</v>
      </c>
    </row>
    <row r="36" spans="1:11" x14ac:dyDescent="0.3">
      <c r="A36" s="19" t="s">
        <v>144</v>
      </c>
      <c r="B36" s="19" t="s">
        <v>145</v>
      </c>
      <c r="C36" s="19" t="s">
        <v>137</v>
      </c>
      <c r="D36" s="20">
        <v>72.36</v>
      </c>
      <c r="E36" s="20">
        <v>108.02</v>
      </c>
      <c r="F36" s="19">
        <v>10</v>
      </c>
      <c r="G36" s="19">
        <v>10</v>
      </c>
      <c r="H36" s="19">
        <v>42</v>
      </c>
      <c r="I36" s="19">
        <v>250</v>
      </c>
      <c r="J36" s="19" t="s">
        <v>71</v>
      </c>
      <c r="K36" s="19" t="s">
        <v>146</v>
      </c>
    </row>
    <row r="37" spans="1:11" x14ac:dyDescent="0.3">
      <c r="A37" s="19" t="s">
        <v>147</v>
      </c>
      <c r="B37" s="19" t="s">
        <v>148</v>
      </c>
      <c r="C37" s="19" t="s">
        <v>137</v>
      </c>
      <c r="D37" s="20">
        <v>61.17</v>
      </c>
      <c r="E37" s="20">
        <v>84.41</v>
      </c>
      <c r="F37" s="19">
        <v>2</v>
      </c>
      <c r="G37" s="19">
        <v>25</v>
      </c>
      <c r="H37" s="19">
        <v>30</v>
      </c>
      <c r="I37" s="19">
        <v>185</v>
      </c>
      <c r="J37" s="19" t="s">
        <v>71</v>
      </c>
      <c r="K37" s="19" t="s">
        <v>149</v>
      </c>
    </row>
    <row r="38" spans="1:11" x14ac:dyDescent="0.3">
      <c r="A38" s="19" t="s">
        <v>150</v>
      </c>
      <c r="B38" s="19" t="s">
        <v>151</v>
      </c>
      <c r="C38" s="19" t="s">
        <v>137</v>
      </c>
      <c r="D38" s="20">
        <v>36.200000000000003</v>
      </c>
      <c r="E38" s="20">
        <v>51.18</v>
      </c>
      <c r="F38" s="19">
        <v>3</v>
      </c>
      <c r="G38" s="19">
        <v>20</v>
      </c>
      <c r="H38" s="19">
        <v>24</v>
      </c>
      <c r="I38" s="19">
        <v>242</v>
      </c>
      <c r="J38" s="19" t="s">
        <v>71</v>
      </c>
      <c r="K38" s="19" t="s">
        <v>59</v>
      </c>
    </row>
    <row r="39" spans="1:11" x14ac:dyDescent="0.3">
      <c r="A39" s="19" t="s">
        <v>152</v>
      </c>
      <c r="B39" s="19" t="s">
        <v>153</v>
      </c>
      <c r="C39" s="19" t="s">
        <v>137</v>
      </c>
      <c r="D39" s="20">
        <v>62.21</v>
      </c>
      <c r="E39" s="20">
        <v>95.89</v>
      </c>
      <c r="F39" s="19">
        <v>5</v>
      </c>
      <c r="G39" s="19">
        <v>50</v>
      </c>
      <c r="H39" s="19">
        <v>48</v>
      </c>
      <c r="I39" s="19">
        <v>230</v>
      </c>
      <c r="J39" s="19" t="s">
        <v>58</v>
      </c>
      <c r="K39" s="19" t="s">
        <v>122</v>
      </c>
    </row>
    <row r="40" spans="1:11" x14ac:dyDescent="0.3">
      <c r="A40" s="19" t="s">
        <v>154</v>
      </c>
      <c r="B40" s="19" t="s">
        <v>155</v>
      </c>
      <c r="C40" s="19" t="s">
        <v>137</v>
      </c>
      <c r="D40" s="20">
        <v>65.58</v>
      </c>
      <c r="E40" s="20">
        <v>102.19</v>
      </c>
      <c r="F40" s="19">
        <v>14</v>
      </c>
      <c r="G40" s="19">
        <v>50</v>
      </c>
      <c r="H40" s="19">
        <v>48</v>
      </c>
      <c r="I40" s="19">
        <v>192</v>
      </c>
      <c r="J40" s="19" t="s">
        <v>58</v>
      </c>
      <c r="K40" s="19" t="s">
        <v>80</v>
      </c>
    </row>
    <row r="41" spans="1:11" x14ac:dyDescent="0.3">
      <c r="A41" s="19" t="s">
        <v>156</v>
      </c>
      <c r="B41" s="19" t="s">
        <v>157</v>
      </c>
      <c r="C41" s="19" t="s">
        <v>137</v>
      </c>
      <c r="D41" s="20">
        <v>74.069999999999993</v>
      </c>
      <c r="E41" s="20">
        <v>109.48</v>
      </c>
      <c r="F41" s="19">
        <v>10</v>
      </c>
      <c r="G41" s="19">
        <v>100</v>
      </c>
      <c r="H41" s="19">
        <v>48</v>
      </c>
      <c r="I41" s="19">
        <v>220</v>
      </c>
      <c r="J41" s="19" t="s">
        <v>71</v>
      </c>
      <c r="K41" s="19" t="s">
        <v>158</v>
      </c>
    </row>
    <row r="42" spans="1:11" x14ac:dyDescent="0.3">
      <c r="A42" s="19" t="s">
        <v>159</v>
      </c>
      <c r="B42" s="19" t="s">
        <v>160</v>
      </c>
      <c r="C42" s="19" t="s">
        <v>137</v>
      </c>
      <c r="D42" s="20">
        <v>17.600000000000001</v>
      </c>
      <c r="E42" s="20">
        <v>26.13</v>
      </c>
      <c r="F42" s="19">
        <v>2</v>
      </c>
      <c r="G42" s="19">
        <v>25</v>
      </c>
      <c r="H42" s="19">
        <v>24</v>
      </c>
      <c r="I42" s="19">
        <v>195</v>
      </c>
      <c r="J42" s="19" t="s">
        <v>71</v>
      </c>
      <c r="K42" s="19" t="s">
        <v>146</v>
      </c>
    </row>
    <row r="43" spans="1:11" x14ac:dyDescent="0.3">
      <c r="A43" s="19" t="s">
        <v>161</v>
      </c>
      <c r="B43" s="19" t="s">
        <v>162</v>
      </c>
      <c r="C43" s="19" t="s">
        <v>137</v>
      </c>
      <c r="D43" s="20">
        <v>49.37</v>
      </c>
      <c r="E43" s="20">
        <v>73.06</v>
      </c>
      <c r="F43" s="19">
        <v>14</v>
      </c>
      <c r="G43" s="19">
        <v>100</v>
      </c>
      <c r="H43" s="19">
        <v>42</v>
      </c>
      <c r="I43" s="19">
        <v>192</v>
      </c>
      <c r="J43" s="19" t="s">
        <v>71</v>
      </c>
      <c r="K43" s="19" t="s">
        <v>66</v>
      </c>
    </row>
    <row r="44" spans="1:11" x14ac:dyDescent="0.3">
      <c r="A44" s="19" t="s">
        <v>163</v>
      </c>
      <c r="B44" s="19" t="s">
        <v>164</v>
      </c>
      <c r="C44" s="19" t="s">
        <v>137</v>
      </c>
      <c r="D44" s="20">
        <v>63.7</v>
      </c>
      <c r="E44" s="20">
        <v>89.19</v>
      </c>
      <c r="F44" s="19">
        <v>10</v>
      </c>
      <c r="G44" s="19">
        <v>50</v>
      </c>
      <c r="H44" s="19">
        <v>42</v>
      </c>
      <c r="I44" s="19">
        <v>261</v>
      </c>
      <c r="J44" s="19" t="s">
        <v>58</v>
      </c>
      <c r="K44" s="19" t="s">
        <v>98</v>
      </c>
    </row>
    <row r="45" spans="1:11" x14ac:dyDescent="0.3">
      <c r="A45" s="19" t="s">
        <v>165</v>
      </c>
      <c r="B45" s="19" t="s">
        <v>166</v>
      </c>
      <c r="C45" s="19" t="s">
        <v>137</v>
      </c>
      <c r="D45" s="20">
        <v>84.89</v>
      </c>
      <c r="E45" s="20">
        <v>121.51</v>
      </c>
      <c r="F45" s="19">
        <v>4</v>
      </c>
      <c r="G45" s="19">
        <v>10</v>
      </c>
      <c r="H45" s="19">
        <v>24</v>
      </c>
      <c r="I45" s="19">
        <v>247</v>
      </c>
      <c r="J45" s="19" t="s">
        <v>58</v>
      </c>
      <c r="K45" s="19" t="s">
        <v>59</v>
      </c>
    </row>
    <row r="46" spans="1:11" x14ac:dyDescent="0.3">
      <c r="A46" s="19" t="s">
        <v>167</v>
      </c>
      <c r="B46" s="19" t="s">
        <v>168</v>
      </c>
      <c r="C46" s="19" t="s">
        <v>137</v>
      </c>
      <c r="D46" s="20">
        <v>88.93</v>
      </c>
      <c r="E46" s="20">
        <v>134.76</v>
      </c>
      <c r="F46" s="19">
        <v>4</v>
      </c>
      <c r="G46" s="19">
        <v>10</v>
      </c>
      <c r="H46" s="19">
        <v>48</v>
      </c>
      <c r="I46" s="19">
        <v>266</v>
      </c>
      <c r="J46" s="19" t="s">
        <v>97</v>
      </c>
      <c r="K46" s="19" t="s">
        <v>62</v>
      </c>
    </row>
    <row r="47" spans="1:11" x14ac:dyDescent="0.3">
      <c r="A47" s="19" t="s">
        <v>169</v>
      </c>
      <c r="B47" s="19" t="s">
        <v>170</v>
      </c>
      <c r="C47" s="19" t="s">
        <v>137</v>
      </c>
      <c r="D47" s="20">
        <v>10.98</v>
      </c>
      <c r="E47" s="20">
        <v>15.77</v>
      </c>
      <c r="F47" s="19">
        <v>10</v>
      </c>
      <c r="G47" s="19">
        <v>25</v>
      </c>
      <c r="H47" s="19">
        <v>42</v>
      </c>
      <c r="I47" s="19">
        <v>245</v>
      </c>
      <c r="J47" s="19" t="s">
        <v>71</v>
      </c>
      <c r="K47" s="19" t="s">
        <v>94</v>
      </c>
    </row>
    <row r="48" spans="1:11" x14ac:dyDescent="0.3">
      <c r="A48" s="19" t="s">
        <v>171</v>
      </c>
      <c r="B48" s="19" t="s">
        <v>172</v>
      </c>
      <c r="C48" s="19" t="s">
        <v>137</v>
      </c>
      <c r="D48" s="20">
        <v>83.48</v>
      </c>
      <c r="E48" s="20">
        <v>128.09</v>
      </c>
      <c r="F48" s="19">
        <v>4</v>
      </c>
      <c r="G48" s="19">
        <v>100</v>
      </c>
      <c r="H48" s="19">
        <v>36</v>
      </c>
      <c r="I48" s="19">
        <v>190</v>
      </c>
      <c r="J48" s="19" t="s">
        <v>71</v>
      </c>
      <c r="K48" s="19" t="s">
        <v>132</v>
      </c>
    </row>
    <row r="49" spans="1:11" x14ac:dyDescent="0.3">
      <c r="A49" s="19" t="s">
        <v>173</v>
      </c>
      <c r="B49" s="19" t="s">
        <v>174</v>
      </c>
      <c r="C49" s="19" t="s">
        <v>137</v>
      </c>
      <c r="D49" s="20">
        <v>89.93</v>
      </c>
      <c r="E49" s="20">
        <v>134.87</v>
      </c>
      <c r="F49" s="19">
        <v>7</v>
      </c>
      <c r="G49" s="19">
        <v>50</v>
      </c>
      <c r="H49" s="19">
        <v>24</v>
      </c>
      <c r="I49" s="19">
        <v>192</v>
      </c>
      <c r="J49" s="19" t="s">
        <v>75</v>
      </c>
      <c r="K49" s="19" t="s">
        <v>72</v>
      </c>
    </row>
    <row r="50" spans="1:11" x14ac:dyDescent="0.3">
      <c r="A50" s="19" t="s">
        <v>175</v>
      </c>
      <c r="B50" s="19" t="s">
        <v>176</v>
      </c>
      <c r="C50" s="19" t="s">
        <v>137</v>
      </c>
      <c r="D50" s="20">
        <v>25.86</v>
      </c>
      <c r="E50" s="20">
        <v>40.68</v>
      </c>
      <c r="F50" s="19">
        <v>14</v>
      </c>
      <c r="G50" s="19">
        <v>10</v>
      </c>
      <c r="H50" s="19">
        <v>30</v>
      </c>
      <c r="I50" s="19">
        <v>239</v>
      </c>
      <c r="J50" s="19" t="s">
        <v>71</v>
      </c>
      <c r="K50" s="19" t="s">
        <v>132</v>
      </c>
    </row>
    <row r="51" spans="1:11" x14ac:dyDescent="0.3">
      <c r="A51" s="19" t="s">
        <v>177</v>
      </c>
      <c r="B51" s="19" t="s">
        <v>178</v>
      </c>
      <c r="C51" s="19" t="s">
        <v>137</v>
      </c>
      <c r="D51" s="20">
        <v>29.08</v>
      </c>
      <c r="E51" s="20">
        <v>45.21</v>
      </c>
      <c r="F51" s="19">
        <v>2</v>
      </c>
      <c r="G51" s="19">
        <v>50</v>
      </c>
      <c r="H51" s="19">
        <v>48</v>
      </c>
      <c r="I51" s="19">
        <v>202</v>
      </c>
      <c r="J51" s="19" t="s">
        <v>97</v>
      </c>
      <c r="K51" s="19" t="s">
        <v>132</v>
      </c>
    </row>
    <row r="52" spans="1:11" x14ac:dyDescent="0.3">
      <c r="A52" s="19" t="s">
        <v>179</v>
      </c>
      <c r="B52" s="19" t="s">
        <v>180</v>
      </c>
      <c r="C52" s="19" t="s">
        <v>137</v>
      </c>
      <c r="D52" s="20">
        <v>77.040000000000006</v>
      </c>
      <c r="E52" s="20">
        <v>101.08</v>
      </c>
      <c r="F52" s="19">
        <v>2</v>
      </c>
      <c r="G52" s="19">
        <v>10</v>
      </c>
      <c r="H52" s="19">
        <v>36</v>
      </c>
      <c r="I52" s="19">
        <v>198</v>
      </c>
      <c r="J52" s="19" t="s">
        <v>58</v>
      </c>
      <c r="K52" s="19" t="s">
        <v>80</v>
      </c>
    </row>
    <row r="53" spans="1:11" x14ac:dyDescent="0.3">
      <c r="A53" s="19" t="s">
        <v>181</v>
      </c>
      <c r="B53" s="19" t="s">
        <v>182</v>
      </c>
      <c r="C53" s="19" t="s">
        <v>137</v>
      </c>
      <c r="D53" s="20">
        <v>25.44</v>
      </c>
      <c r="E53" s="20">
        <v>35.14</v>
      </c>
      <c r="F53" s="19">
        <v>7</v>
      </c>
      <c r="G53" s="19">
        <v>25</v>
      </c>
      <c r="H53" s="19">
        <v>42</v>
      </c>
      <c r="I53" s="19">
        <v>189</v>
      </c>
      <c r="J53" s="19" t="s">
        <v>58</v>
      </c>
      <c r="K53" s="19" t="s">
        <v>119</v>
      </c>
    </row>
    <row r="54" spans="1:11" x14ac:dyDescent="0.3">
      <c r="A54" s="19" t="s">
        <v>183</v>
      </c>
      <c r="B54" s="19" t="s">
        <v>184</v>
      </c>
      <c r="C54" s="19" t="s">
        <v>137</v>
      </c>
      <c r="D54" s="20">
        <v>80.73</v>
      </c>
      <c r="E54" s="20">
        <v>122.13</v>
      </c>
      <c r="F54" s="19">
        <v>4</v>
      </c>
      <c r="G54" s="19">
        <v>10</v>
      </c>
      <c r="H54" s="19">
        <v>36</v>
      </c>
      <c r="I54" s="19">
        <v>195</v>
      </c>
      <c r="J54" s="19" t="s">
        <v>71</v>
      </c>
      <c r="K54" s="19" t="s">
        <v>59</v>
      </c>
    </row>
    <row r="55" spans="1:11" x14ac:dyDescent="0.3">
      <c r="A55" s="19" t="s">
        <v>185</v>
      </c>
      <c r="B55" s="19" t="s">
        <v>186</v>
      </c>
      <c r="C55" s="19" t="s">
        <v>137</v>
      </c>
      <c r="D55" s="20">
        <v>21.61</v>
      </c>
      <c r="E55" s="20">
        <v>34.229999999999997</v>
      </c>
      <c r="F55" s="19">
        <v>4</v>
      </c>
      <c r="G55" s="19">
        <v>25</v>
      </c>
      <c r="H55" s="19">
        <v>36</v>
      </c>
      <c r="I55" s="19">
        <v>229</v>
      </c>
      <c r="J55" s="19" t="s">
        <v>58</v>
      </c>
      <c r="K55" s="19" t="s">
        <v>125</v>
      </c>
    </row>
    <row r="56" spans="1:11" x14ac:dyDescent="0.3">
      <c r="A56" s="19" t="s">
        <v>187</v>
      </c>
      <c r="B56" s="19" t="s">
        <v>188</v>
      </c>
      <c r="C56" s="19" t="s">
        <v>137</v>
      </c>
      <c r="D56" s="20">
        <v>21.88</v>
      </c>
      <c r="E56" s="20">
        <v>31.78</v>
      </c>
      <c r="F56" s="19">
        <v>14</v>
      </c>
      <c r="G56" s="19">
        <v>25</v>
      </c>
      <c r="H56" s="19">
        <v>42</v>
      </c>
      <c r="I56" s="19">
        <v>216</v>
      </c>
      <c r="J56" s="19" t="s">
        <v>58</v>
      </c>
      <c r="K56" s="19" t="s">
        <v>158</v>
      </c>
    </row>
    <row r="57" spans="1:11" x14ac:dyDescent="0.3">
      <c r="A57" s="19" t="s">
        <v>189</v>
      </c>
      <c r="B57" s="19" t="s">
        <v>190</v>
      </c>
      <c r="C57" s="19" t="s">
        <v>137</v>
      </c>
      <c r="D57" s="20">
        <v>44.23</v>
      </c>
      <c r="E57" s="20">
        <v>65.61</v>
      </c>
      <c r="F57" s="19">
        <v>7</v>
      </c>
      <c r="G57" s="19">
        <v>100</v>
      </c>
      <c r="H57" s="19">
        <v>30</v>
      </c>
      <c r="I57" s="19">
        <v>216</v>
      </c>
      <c r="J57" s="19" t="s">
        <v>71</v>
      </c>
      <c r="K57" s="19" t="s">
        <v>72</v>
      </c>
    </row>
    <row r="58" spans="1:11" x14ac:dyDescent="0.3">
      <c r="A58" s="19" t="s">
        <v>191</v>
      </c>
      <c r="B58" s="19" t="s">
        <v>192</v>
      </c>
      <c r="C58" s="19" t="s">
        <v>137</v>
      </c>
      <c r="D58" s="20">
        <v>43.47</v>
      </c>
      <c r="E58" s="20">
        <v>62.69</v>
      </c>
      <c r="F58" s="19">
        <v>2</v>
      </c>
      <c r="G58" s="19">
        <v>25</v>
      </c>
      <c r="H58" s="19">
        <v>24</v>
      </c>
      <c r="I58" s="19">
        <v>200</v>
      </c>
      <c r="J58" s="19" t="s">
        <v>58</v>
      </c>
      <c r="K58" s="19" t="s">
        <v>59</v>
      </c>
    </row>
    <row r="59" spans="1:11" x14ac:dyDescent="0.3">
      <c r="A59" s="19" t="s">
        <v>193</v>
      </c>
      <c r="B59" s="19" t="s">
        <v>194</v>
      </c>
      <c r="C59" s="19" t="s">
        <v>137</v>
      </c>
      <c r="D59" s="20">
        <v>53.93</v>
      </c>
      <c r="E59" s="20">
        <v>77.09</v>
      </c>
      <c r="F59" s="19">
        <v>7</v>
      </c>
      <c r="G59" s="19">
        <v>25</v>
      </c>
      <c r="H59" s="19">
        <v>42</v>
      </c>
      <c r="I59" s="19">
        <v>228</v>
      </c>
      <c r="J59" s="19" t="s">
        <v>71</v>
      </c>
      <c r="K59" s="19" t="s">
        <v>66</v>
      </c>
    </row>
    <row r="60" spans="1:11" x14ac:dyDescent="0.3">
      <c r="A60" s="19" t="s">
        <v>195</v>
      </c>
      <c r="B60" s="19" t="s">
        <v>196</v>
      </c>
      <c r="C60" s="19" t="s">
        <v>137</v>
      </c>
      <c r="D60" s="20">
        <v>51.62</v>
      </c>
      <c r="E60" s="20">
        <v>79.489999999999995</v>
      </c>
      <c r="F60" s="19">
        <v>5</v>
      </c>
      <c r="G60" s="19">
        <v>100</v>
      </c>
      <c r="H60" s="19">
        <v>30</v>
      </c>
      <c r="I60" s="19">
        <v>208</v>
      </c>
      <c r="J60" s="19" t="s">
        <v>71</v>
      </c>
      <c r="K60" s="19" t="s">
        <v>197</v>
      </c>
    </row>
    <row r="61" spans="1:11" x14ac:dyDescent="0.3">
      <c r="A61" s="19" t="s">
        <v>198</v>
      </c>
      <c r="B61" s="19" t="s">
        <v>199</v>
      </c>
      <c r="C61" s="19" t="s">
        <v>137</v>
      </c>
      <c r="D61" s="20">
        <v>14.45</v>
      </c>
      <c r="E61" s="20">
        <v>20</v>
      </c>
      <c r="F61" s="19">
        <v>4</v>
      </c>
      <c r="G61" s="19">
        <v>25</v>
      </c>
      <c r="H61" s="19">
        <v>48</v>
      </c>
      <c r="I61" s="19">
        <v>231</v>
      </c>
      <c r="J61" s="19" t="s">
        <v>71</v>
      </c>
      <c r="K61" s="19" t="s">
        <v>125</v>
      </c>
    </row>
    <row r="62" spans="1:11" x14ac:dyDescent="0.3">
      <c r="A62" s="19" t="s">
        <v>200</v>
      </c>
      <c r="B62" s="19" t="s">
        <v>201</v>
      </c>
      <c r="C62" s="19" t="s">
        <v>202</v>
      </c>
      <c r="D62" s="20">
        <v>275.07</v>
      </c>
      <c r="E62" s="20">
        <v>377.21</v>
      </c>
      <c r="F62" s="19">
        <v>7</v>
      </c>
      <c r="G62" s="19">
        <v>10</v>
      </c>
      <c r="H62" s="19">
        <v>18</v>
      </c>
      <c r="I62" s="19">
        <v>430</v>
      </c>
      <c r="J62" s="19" t="s">
        <v>65</v>
      </c>
      <c r="K62" s="19" t="s">
        <v>203</v>
      </c>
    </row>
    <row r="63" spans="1:11" x14ac:dyDescent="0.3">
      <c r="A63" s="19" t="s">
        <v>204</v>
      </c>
      <c r="B63" s="19" t="s">
        <v>205</v>
      </c>
      <c r="C63" s="19" t="s">
        <v>202</v>
      </c>
      <c r="D63" s="20">
        <v>318.82</v>
      </c>
      <c r="E63" s="20">
        <v>431.82</v>
      </c>
      <c r="F63" s="19">
        <v>4</v>
      </c>
      <c r="G63" s="19">
        <v>50</v>
      </c>
      <c r="H63" s="19">
        <v>24</v>
      </c>
      <c r="I63" s="19">
        <v>439</v>
      </c>
      <c r="J63" s="19" t="s">
        <v>71</v>
      </c>
      <c r="K63" s="19" t="s">
        <v>66</v>
      </c>
    </row>
    <row r="64" spans="1:11" x14ac:dyDescent="0.3">
      <c r="A64" s="19" t="s">
        <v>206</v>
      </c>
      <c r="B64" s="19" t="s">
        <v>207</v>
      </c>
      <c r="C64" s="19" t="s">
        <v>202</v>
      </c>
      <c r="D64" s="20">
        <v>196.52</v>
      </c>
      <c r="E64" s="20">
        <v>242.26</v>
      </c>
      <c r="F64" s="19">
        <v>4</v>
      </c>
      <c r="G64" s="19">
        <v>100</v>
      </c>
      <c r="H64" s="19">
        <v>24</v>
      </c>
      <c r="I64" s="19">
        <v>394</v>
      </c>
      <c r="J64" s="19" t="s">
        <v>97</v>
      </c>
      <c r="K64" s="19" t="s">
        <v>119</v>
      </c>
    </row>
    <row r="65" spans="1:11" x14ac:dyDescent="0.3">
      <c r="A65" s="19" t="s">
        <v>208</v>
      </c>
      <c r="B65" s="19" t="s">
        <v>209</v>
      </c>
      <c r="C65" s="19" t="s">
        <v>202</v>
      </c>
      <c r="D65" s="20">
        <v>176.54</v>
      </c>
      <c r="E65" s="20">
        <v>225.71</v>
      </c>
      <c r="F65" s="19">
        <v>2</v>
      </c>
      <c r="G65" s="19">
        <v>100</v>
      </c>
      <c r="H65" s="19">
        <v>12</v>
      </c>
      <c r="I65" s="19">
        <v>422</v>
      </c>
      <c r="J65" s="19" t="s">
        <v>65</v>
      </c>
      <c r="K65" s="19" t="s">
        <v>210</v>
      </c>
    </row>
    <row r="66" spans="1:11" x14ac:dyDescent="0.3">
      <c r="A66" s="19" t="s">
        <v>211</v>
      </c>
      <c r="B66" s="19" t="s">
        <v>212</v>
      </c>
      <c r="C66" s="19" t="s">
        <v>202</v>
      </c>
      <c r="D66" s="20">
        <v>295.85000000000002</v>
      </c>
      <c r="E66" s="20">
        <v>357.66</v>
      </c>
      <c r="F66" s="19">
        <v>3</v>
      </c>
      <c r="G66" s="19">
        <v>20</v>
      </c>
      <c r="H66" s="19">
        <v>18</v>
      </c>
      <c r="I66" s="19">
        <v>405</v>
      </c>
      <c r="J66" s="19" t="s">
        <v>65</v>
      </c>
      <c r="K66" s="19" t="s">
        <v>213</v>
      </c>
    </row>
    <row r="67" spans="1:11" x14ac:dyDescent="0.3">
      <c r="A67" s="19" t="s">
        <v>214</v>
      </c>
      <c r="B67" s="19" t="s">
        <v>215</v>
      </c>
      <c r="C67" s="19" t="s">
        <v>202</v>
      </c>
      <c r="D67" s="20">
        <v>279.33</v>
      </c>
      <c r="E67" s="20">
        <v>370.82</v>
      </c>
      <c r="F67" s="19">
        <v>7</v>
      </c>
      <c r="G67" s="19">
        <v>25</v>
      </c>
      <c r="H67" s="19">
        <v>12</v>
      </c>
      <c r="I67" s="19">
        <v>462</v>
      </c>
      <c r="J67" s="19" t="s">
        <v>71</v>
      </c>
      <c r="K67" s="19" t="s">
        <v>213</v>
      </c>
    </row>
    <row r="68" spans="1:11" x14ac:dyDescent="0.3">
      <c r="A68" s="19" t="s">
        <v>216</v>
      </c>
      <c r="B68" s="19" t="s">
        <v>217</v>
      </c>
      <c r="C68" s="19" t="s">
        <v>202</v>
      </c>
      <c r="D68" s="20">
        <v>148</v>
      </c>
      <c r="E68" s="20">
        <v>202.6</v>
      </c>
      <c r="F68" s="19">
        <v>5</v>
      </c>
      <c r="G68" s="19">
        <v>50</v>
      </c>
      <c r="H68" s="19">
        <v>12</v>
      </c>
      <c r="I68" s="19">
        <v>449</v>
      </c>
      <c r="J68" s="19" t="s">
        <v>58</v>
      </c>
      <c r="K68" s="19" t="s">
        <v>98</v>
      </c>
    </row>
    <row r="69" spans="1:11" x14ac:dyDescent="0.3">
      <c r="A69" s="19" t="s">
        <v>218</v>
      </c>
      <c r="B69" s="19" t="s">
        <v>219</v>
      </c>
      <c r="C69" s="19" t="s">
        <v>202</v>
      </c>
      <c r="D69" s="20">
        <v>148.55000000000001</v>
      </c>
      <c r="E69" s="20">
        <v>193.08</v>
      </c>
      <c r="F69" s="19">
        <v>5</v>
      </c>
      <c r="G69" s="19">
        <v>25</v>
      </c>
      <c r="H69" s="19">
        <v>24</v>
      </c>
      <c r="I69" s="19">
        <v>514</v>
      </c>
      <c r="J69" s="19" t="s">
        <v>97</v>
      </c>
      <c r="K69" s="19" t="s">
        <v>59</v>
      </c>
    </row>
    <row r="70" spans="1:11" x14ac:dyDescent="0.3">
      <c r="A70" s="19" t="s">
        <v>220</v>
      </c>
      <c r="B70" s="19" t="s">
        <v>221</v>
      </c>
      <c r="C70" s="19" t="s">
        <v>202</v>
      </c>
      <c r="D70" s="20">
        <v>109.82</v>
      </c>
      <c r="E70" s="20">
        <v>132.33000000000001</v>
      </c>
      <c r="F70" s="19">
        <v>7</v>
      </c>
      <c r="G70" s="19">
        <v>25</v>
      </c>
      <c r="H70" s="19">
        <v>18</v>
      </c>
      <c r="I70" s="19">
        <v>528</v>
      </c>
      <c r="J70" s="19" t="s">
        <v>97</v>
      </c>
      <c r="K70" s="19" t="s">
        <v>213</v>
      </c>
    </row>
    <row r="71" spans="1:11" x14ac:dyDescent="0.3">
      <c r="A71" s="19" t="s">
        <v>222</v>
      </c>
      <c r="B71" s="19" t="s">
        <v>223</v>
      </c>
      <c r="C71" s="19" t="s">
        <v>202</v>
      </c>
      <c r="D71" s="20">
        <v>224.78</v>
      </c>
      <c r="E71" s="20">
        <v>313.87</v>
      </c>
      <c r="F71" s="19">
        <v>7</v>
      </c>
      <c r="G71" s="19">
        <v>100</v>
      </c>
      <c r="H71" s="19">
        <v>24</v>
      </c>
      <c r="I71" s="19">
        <v>506</v>
      </c>
      <c r="J71" s="19" t="s">
        <v>65</v>
      </c>
      <c r="K71" s="19" t="s">
        <v>146</v>
      </c>
    </row>
    <row r="72" spans="1:11" x14ac:dyDescent="0.3">
      <c r="A72" s="19" t="s">
        <v>224</v>
      </c>
      <c r="B72" s="19" t="s">
        <v>225</v>
      </c>
      <c r="C72" s="19" t="s">
        <v>202</v>
      </c>
      <c r="D72" s="20">
        <v>263.32</v>
      </c>
      <c r="E72" s="20">
        <v>361.63</v>
      </c>
      <c r="F72" s="19">
        <v>5</v>
      </c>
      <c r="G72" s="19">
        <v>50</v>
      </c>
      <c r="H72" s="19">
        <v>12</v>
      </c>
      <c r="I72" s="19">
        <v>385</v>
      </c>
      <c r="J72" s="19" t="s">
        <v>65</v>
      </c>
      <c r="K72" s="19" t="s">
        <v>146</v>
      </c>
    </row>
    <row r="73" spans="1:11" x14ac:dyDescent="0.3">
      <c r="A73" s="19" t="s">
        <v>226</v>
      </c>
      <c r="B73" s="19" t="s">
        <v>227</v>
      </c>
      <c r="C73" s="19" t="s">
        <v>202</v>
      </c>
      <c r="D73" s="20">
        <v>134.94</v>
      </c>
      <c r="E73" s="20">
        <v>181.73</v>
      </c>
      <c r="F73" s="19">
        <v>10</v>
      </c>
      <c r="G73" s="19">
        <v>50</v>
      </c>
      <c r="H73" s="19">
        <v>24</v>
      </c>
      <c r="I73" s="19">
        <v>535</v>
      </c>
      <c r="J73" s="19" t="s">
        <v>97</v>
      </c>
      <c r="K73" s="19" t="s">
        <v>122</v>
      </c>
    </row>
    <row r="74" spans="1:11" x14ac:dyDescent="0.3">
      <c r="A74" s="19" t="s">
        <v>228</v>
      </c>
      <c r="B74" s="19" t="s">
        <v>229</v>
      </c>
      <c r="C74" s="19" t="s">
        <v>202</v>
      </c>
      <c r="D74" s="20">
        <v>187.32</v>
      </c>
      <c r="E74" s="20">
        <v>261.70999999999998</v>
      </c>
      <c r="F74" s="19">
        <v>4</v>
      </c>
      <c r="G74" s="19">
        <v>100</v>
      </c>
      <c r="H74" s="19">
        <v>24</v>
      </c>
      <c r="I74" s="19">
        <v>446</v>
      </c>
      <c r="J74" s="19" t="s">
        <v>97</v>
      </c>
      <c r="K74" s="19" t="s">
        <v>66</v>
      </c>
    </row>
    <row r="75" spans="1:11" x14ac:dyDescent="0.3">
      <c r="A75" s="19" t="s">
        <v>230</v>
      </c>
      <c r="B75" s="19" t="s">
        <v>231</v>
      </c>
      <c r="C75" s="19" t="s">
        <v>202</v>
      </c>
      <c r="D75" s="20">
        <v>273.87</v>
      </c>
      <c r="E75" s="20">
        <v>330.67</v>
      </c>
      <c r="F75" s="19">
        <v>4</v>
      </c>
      <c r="G75" s="19">
        <v>100</v>
      </c>
      <c r="H75" s="19">
        <v>24</v>
      </c>
      <c r="I75" s="19">
        <v>374</v>
      </c>
      <c r="J75" s="19" t="s">
        <v>97</v>
      </c>
      <c r="K75" s="19" t="s">
        <v>59</v>
      </c>
    </row>
    <row r="76" spans="1:11" x14ac:dyDescent="0.3">
      <c r="A76" s="19" t="s">
        <v>232</v>
      </c>
      <c r="B76" s="19" t="s">
        <v>233</v>
      </c>
      <c r="C76" s="19" t="s">
        <v>202</v>
      </c>
      <c r="D76" s="20">
        <v>252.25</v>
      </c>
      <c r="E76" s="20">
        <v>343.1</v>
      </c>
      <c r="F76" s="19">
        <v>14</v>
      </c>
      <c r="G76" s="19">
        <v>20</v>
      </c>
      <c r="H76" s="19">
        <v>18</v>
      </c>
      <c r="I76" s="19">
        <v>373</v>
      </c>
      <c r="J76" s="19" t="s">
        <v>97</v>
      </c>
      <c r="K76" s="19" t="s">
        <v>72</v>
      </c>
    </row>
    <row r="77" spans="1:11" x14ac:dyDescent="0.3">
      <c r="A77" s="19" t="s">
        <v>234</v>
      </c>
      <c r="B77" s="19" t="s">
        <v>235</v>
      </c>
      <c r="C77" s="19" t="s">
        <v>202</v>
      </c>
      <c r="D77" s="20">
        <v>164.35</v>
      </c>
      <c r="E77" s="20">
        <v>226.66</v>
      </c>
      <c r="F77" s="19">
        <v>7</v>
      </c>
      <c r="G77" s="19">
        <v>20</v>
      </c>
      <c r="H77" s="19">
        <v>12</v>
      </c>
      <c r="I77" s="19">
        <v>472</v>
      </c>
      <c r="J77" s="19" t="s">
        <v>58</v>
      </c>
      <c r="K77" s="19" t="s">
        <v>98</v>
      </c>
    </row>
    <row r="78" spans="1:11" x14ac:dyDescent="0.3">
      <c r="A78" s="19" t="s">
        <v>236</v>
      </c>
      <c r="B78" s="19" t="s">
        <v>237</v>
      </c>
      <c r="C78" s="19" t="s">
        <v>202</v>
      </c>
      <c r="D78" s="20">
        <v>213.48</v>
      </c>
      <c r="E78" s="20">
        <v>273.12</v>
      </c>
      <c r="F78" s="19">
        <v>5</v>
      </c>
      <c r="G78" s="19">
        <v>100</v>
      </c>
      <c r="H78" s="19">
        <v>12</v>
      </c>
      <c r="I78" s="19">
        <v>413</v>
      </c>
      <c r="J78" s="19" t="s">
        <v>65</v>
      </c>
      <c r="K78" s="19" t="s">
        <v>203</v>
      </c>
    </row>
    <row r="79" spans="1:11" x14ac:dyDescent="0.3">
      <c r="A79" s="19" t="s">
        <v>238</v>
      </c>
      <c r="B79" s="19" t="s">
        <v>239</v>
      </c>
      <c r="C79" s="19" t="s">
        <v>202</v>
      </c>
      <c r="D79" s="20">
        <v>269.93</v>
      </c>
      <c r="E79" s="20">
        <v>377.83</v>
      </c>
      <c r="F79" s="19">
        <v>4</v>
      </c>
      <c r="G79" s="19">
        <v>50</v>
      </c>
      <c r="H79" s="19">
        <v>24</v>
      </c>
      <c r="I79" s="19">
        <v>477</v>
      </c>
      <c r="J79" s="19" t="s">
        <v>97</v>
      </c>
      <c r="K79" s="19" t="s">
        <v>122</v>
      </c>
    </row>
    <row r="80" spans="1:11" x14ac:dyDescent="0.3">
      <c r="A80" s="19" t="s">
        <v>240</v>
      </c>
      <c r="B80" s="19" t="s">
        <v>241</v>
      </c>
      <c r="C80" s="19" t="s">
        <v>202</v>
      </c>
      <c r="D80" s="20">
        <v>242.23</v>
      </c>
      <c r="E80" s="20">
        <v>319.51</v>
      </c>
      <c r="F80" s="19">
        <v>5</v>
      </c>
      <c r="G80" s="19">
        <v>100</v>
      </c>
      <c r="H80" s="19">
        <v>12</v>
      </c>
      <c r="I80" s="19">
        <v>434</v>
      </c>
      <c r="J80" s="19" t="s">
        <v>97</v>
      </c>
      <c r="K80" s="19" t="s">
        <v>94</v>
      </c>
    </row>
    <row r="81" spans="1:11" x14ac:dyDescent="0.3">
      <c r="A81" s="19" t="s">
        <v>242</v>
      </c>
      <c r="B81" s="19" t="s">
        <v>243</v>
      </c>
      <c r="C81" s="19" t="s">
        <v>202</v>
      </c>
      <c r="D81" s="20">
        <v>112.51</v>
      </c>
      <c r="E81" s="20">
        <v>135.41</v>
      </c>
      <c r="F81" s="19">
        <v>5</v>
      </c>
      <c r="G81" s="19">
        <v>100</v>
      </c>
      <c r="H81" s="19">
        <v>12</v>
      </c>
      <c r="I81" s="19">
        <v>418</v>
      </c>
      <c r="J81" s="19" t="s">
        <v>65</v>
      </c>
      <c r="K81" s="19" t="s">
        <v>98</v>
      </c>
    </row>
    <row r="82" spans="1:11" x14ac:dyDescent="0.3">
      <c r="A82" s="19" t="s">
        <v>244</v>
      </c>
      <c r="B82" s="19" t="s">
        <v>245</v>
      </c>
      <c r="C82" s="19" t="s">
        <v>202</v>
      </c>
      <c r="D82" s="20">
        <v>200.62</v>
      </c>
      <c r="E82" s="20">
        <v>252.16</v>
      </c>
      <c r="F82" s="19">
        <v>4</v>
      </c>
      <c r="G82" s="19">
        <v>20</v>
      </c>
      <c r="H82" s="19">
        <v>18</v>
      </c>
      <c r="I82" s="19">
        <v>522</v>
      </c>
      <c r="J82" s="19" t="s">
        <v>65</v>
      </c>
      <c r="K82" s="19" t="s">
        <v>101</v>
      </c>
    </row>
    <row r="83" spans="1:11" x14ac:dyDescent="0.3">
      <c r="A83" s="19" t="s">
        <v>246</v>
      </c>
      <c r="B83" s="19" t="s">
        <v>247</v>
      </c>
      <c r="C83" s="19" t="s">
        <v>202</v>
      </c>
      <c r="D83" s="20">
        <v>137.84</v>
      </c>
      <c r="E83" s="20">
        <v>172.06</v>
      </c>
      <c r="F83" s="19">
        <v>4</v>
      </c>
      <c r="G83" s="19">
        <v>10</v>
      </c>
      <c r="H83" s="19">
        <v>18</v>
      </c>
      <c r="I83" s="19">
        <v>417</v>
      </c>
      <c r="J83" s="19" t="s">
        <v>75</v>
      </c>
      <c r="K83" s="19" t="s">
        <v>94</v>
      </c>
    </row>
    <row r="84" spans="1:11" x14ac:dyDescent="0.3">
      <c r="A84" s="19" t="s">
        <v>248</v>
      </c>
      <c r="B84" s="19" t="s">
        <v>249</v>
      </c>
      <c r="C84" s="19" t="s">
        <v>202</v>
      </c>
      <c r="D84" s="20">
        <v>265.91000000000003</v>
      </c>
      <c r="E84" s="20">
        <v>360.78</v>
      </c>
      <c r="F84" s="19">
        <v>14</v>
      </c>
      <c r="G84" s="19">
        <v>25</v>
      </c>
      <c r="H84" s="19">
        <v>18</v>
      </c>
      <c r="I84" s="19">
        <v>442</v>
      </c>
      <c r="J84" s="19" t="s">
        <v>65</v>
      </c>
      <c r="K84" s="19" t="s">
        <v>72</v>
      </c>
    </row>
    <row r="85" spans="1:11" x14ac:dyDescent="0.3">
      <c r="A85" s="19" t="s">
        <v>250</v>
      </c>
      <c r="B85" s="19" t="s">
        <v>251</v>
      </c>
      <c r="C85" s="19" t="s">
        <v>202</v>
      </c>
      <c r="D85" s="20">
        <v>206.16</v>
      </c>
      <c r="E85" s="20">
        <v>251.59</v>
      </c>
      <c r="F85" s="19">
        <v>7</v>
      </c>
      <c r="G85" s="19">
        <v>20</v>
      </c>
      <c r="H85" s="19">
        <v>12</v>
      </c>
      <c r="I85" s="19">
        <v>440</v>
      </c>
      <c r="J85" s="19" t="s">
        <v>65</v>
      </c>
      <c r="K85" s="19" t="s">
        <v>72</v>
      </c>
    </row>
    <row r="86" spans="1:11" x14ac:dyDescent="0.3">
      <c r="A86" s="19" t="s">
        <v>252</v>
      </c>
      <c r="B86" s="19" t="s">
        <v>253</v>
      </c>
      <c r="C86" s="19" t="s">
        <v>202</v>
      </c>
      <c r="D86" s="20">
        <v>70.680000000000007</v>
      </c>
      <c r="E86" s="20">
        <v>88.29</v>
      </c>
      <c r="F86" s="19">
        <v>14</v>
      </c>
      <c r="G86" s="19">
        <v>25</v>
      </c>
      <c r="H86" s="19">
        <v>18</v>
      </c>
      <c r="I86" s="19">
        <v>376</v>
      </c>
      <c r="J86" s="19" t="s">
        <v>65</v>
      </c>
      <c r="K86" s="19" t="s">
        <v>197</v>
      </c>
    </row>
    <row r="87" spans="1:11" x14ac:dyDescent="0.3">
      <c r="A87" s="19" t="s">
        <v>254</v>
      </c>
      <c r="B87" s="19" t="s">
        <v>255</v>
      </c>
      <c r="C87" s="19" t="s">
        <v>202</v>
      </c>
      <c r="D87" s="20">
        <v>159.97</v>
      </c>
      <c r="E87" s="20">
        <v>193.9</v>
      </c>
      <c r="F87" s="19">
        <v>7</v>
      </c>
      <c r="G87" s="19">
        <v>25</v>
      </c>
      <c r="H87" s="19">
        <v>12</v>
      </c>
      <c r="I87" s="19">
        <v>523</v>
      </c>
      <c r="J87" s="19" t="s">
        <v>97</v>
      </c>
      <c r="K87" s="19" t="s">
        <v>213</v>
      </c>
    </row>
    <row r="88" spans="1:11" x14ac:dyDescent="0.3">
      <c r="A88" s="19" t="s">
        <v>256</v>
      </c>
      <c r="B88" s="19" t="s">
        <v>257</v>
      </c>
      <c r="C88" s="19" t="s">
        <v>202</v>
      </c>
      <c r="D88" s="20">
        <v>89.14</v>
      </c>
      <c r="E88" s="20">
        <v>122.35</v>
      </c>
      <c r="F88" s="19">
        <v>2</v>
      </c>
      <c r="G88" s="19">
        <v>25</v>
      </c>
      <c r="H88" s="19">
        <v>12</v>
      </c>
      <c r="I88" s="19">
        <v>365</v>
      </c>
      <c r="J88" s="19" t="s">
        <v>97</v>
      </c>
      <c r="K88" s="19" t="s">
        <v>203</v>
      </c>
    </row>
    <row r="89" spans="1:11" x14ac:dyDescent="0.3">
      <c r="A89" s="19" t="s">
        <v>258</v>
      </c>
      <c r="B89" s="19" t="s">
        <v>259</v>
      </c>
      <c r="C89" s="19" t="s">
        <v>202</v>
      </c>
      <c r="D89" s="20">
        <v>278.70999999999998</v>
      </c>
      <c r="E89" s="20">
        <v>348.96</v>
      </c>
      <c r="F89" s="19">
        <v>4</v>
      </c>
      <c r="G89" s="19">
        <v>25</v>
      </c>
      <c r="H89" s="19">
        <v>24</v>
      </c>
      <c r="I89" s="19">
        <v>405</v>
      </c>
      <c r="J89" s="19" t="s">
        <v>97</v>
      </c>
      <c r="K89" s="19" t="s">
        <v>66</v>
      </c>
    </row>
    <row r="90" spans="1:11" x14ac:dyDescent="0.3">
      <c r="A90" s="19" t="s">
        <v>260</v>
      </c>
      <c r="B90" s="19" t="s">
        <v>261</v>
      </c>
      <c r="C90" s="19" t="s">
        <v>202</v>
      </c>
      <c r="D90" s="20">
        <v>72.63</v>
      </c>
      <c r="E90" s="20">
        <v>93.85</v>
      </c>
      <c r="F90" s="19">
        <v>3</v>
      </c>
      <c r="G90" s="19">
        <v>10</v>
      </c>
      <c r="H90" s="19">
        <v>24</v>
      </c>
      <c r="I90" s="19">
        <v>490</v>
      </c>
      <c r="J90" s="19" t="s">
        <v>97</v>
      </c>
      <c r="K90" s="19" t="s">
        <v>197</v>
      </c>
    </row>
    <row r="91" spans="1:11" x14ac:dyDescent="0.3">
      <c r="A91" s="19" t="s">
        <v>262</v>
      </c>
      <c r="B91" s="19" t="s">
        <v>263</v>
      </c>
      <c r="C91" s="19" t="s">
        <v>202</v>
      </c>
      <c r="D91" s="20">
        <v>108.96</v>
      </c>
      <c r="E91" s="20">
        <v>131.43</v>
      </c>
      <c r="F91" s="19">
        <v>2</v>
      </c>
      <c r="G91" s="19">
        <v>50</v>
      </c>
      <c r="H91" s="19">
        <v>12</v>
      </c>
      <c r="I91" s="19">
        <v>392</v>
      </c>
      <c r="J91" s="19" t="s">
        <v>65</v>
      </c>
      <c r="K91" s="19" t="s">
        <v>203</v>
      </c>
    </row>
    <row r="92" spans="1:11" x14ac:dyDescent="0.3">
      <c r="A92" s="19" t="s">
        <v>264</v>
      </c>
      <c r="B92" s="19" t="s">
        <v>265</v>
      </c>
      <c r="C92" s="19" t="s">
        <v>266</v>
      </c>
      <c r="D92" s="20">
        <v>38.979999999999997</v>
      </c>
      <c r="E92" s="20">
        <v>52.69</v>
      </c>
      <c r="F92" s="19">
        <v>5</v>
      </c>
      <c r="G92" s="19">
        <v>50</v>
      </c>
      <c r="H92" s="19">
        <v>30</v>
      </c>
      <c r="I92" s="19">
        <v>356</v>
      </c>
      <c r="J92" s="19" t="s">
        <v>71</v>
      </c>
      <c r="K92" s="19" t="s">
        <v>59</v>
      </c>
    </row>
    <row r="93" spans="1:11" x14ac:dyDescent="0.3">
      <c r="A93" s="19" t="s">
        <v>267</v>
      </c>
      <c r="B93" s="19" t="s">
        <v>268</v>
      </c>
      <c r="C93" s="19" t="s">
        <v>266</v>
      </c>
      <c r="D93" s="20">
        <v>29.14</v>
      </c>
      <c r="E93" s="20">
        <v>49.38</v>
      </c>
      <c r="F93" s="19">
        <v>4</v>
      </c>
      <c r="G93" s="19">
        <v>50</v>
      </c>
      <c r="H93" s="19">
        <v>42</v>
      </c>
      <c r="I93" s="19">
        <v>305</v>
      </c>
      <c r="J93" s="19" t="s">
        <v>71</v>
      </c>
      <c r="K93" s="19" t="s">
        <v>62</v>
      </c>
    </row>
    <row r="94" spans="1:11" x14ac:dyDescent="0.3">
      <c r="A94" s="19" t="s">
        <v>269</v>
      </c>
      <c r="B94" s="19" t="s">
        <v>270</v>
      </c>
      <c r="C94" s="19" t="s">
        <v>266</v>
      </c>
      <c r="D94" s="20">
        <v>21.56</v>
      </c>
      <c r="E94" s="20">
        <v>31.5</v>
      </c>
      <c r="F94" s="19">
        <v>14</v>
      </c>
      <c r="G94" s="19">
        <v>10</v>
      </c>
      <c r="H94" s="19">
        <v>54</v>
      </c>
      <c r="I94" s="19">
        <v>305</v>
      </c>
      <c r="J94" s="19" t="s">
        <v>65</v>
      </c>
      <c r="K94" s="19" t="s">
        <v>122</v>
      </c>
    </row>
    <row r="95" spans="1:11" x14ac:dyDescent="0.3">
      <c r="A95" s="19" t="s">
        <v>271</v>
      </c>
      <c r="B95" s="19" t="s">
        <v>272</v>
      </c>
      <c r="C95" s="19" t="s">
        <v>266</v>
      </c>
      <c r="D95" s="20">
        <v>33.32</v>
      </c>
      <c r="E95" s="20">
        <v>53.6</v>
      </c>
      <c r="F95" s="19">
        <v>4</v>
      </c>
      <c r="G95" s="19">
        <v>10</v>
      </c>
      <c r="H95" s="19">
        <v>54</v>
      </c>
      <c r="I95" s="19">
        <v>354</v>
      </c>
      <c r="J95" s="19" t="s">
        <v>71</v>
      </c>
      <c r="K95" s="19" t="s">
        <v>106</v>
      </c>
    </row>
    <row r="96" spans="1:11" x14ac:dyDescent="0.3">
      <c r="A96" s="19" t="s">
        <v>273</v>
      </c>
      <c r="B96" s="19" t="s">
        <v>274</v>
      </c>
      <c r="C96" s="19" t="s">
        <v>266</v>
      </c>
      <c r="D96" s="20">
        <v>32.72</v>
      </c>
      <c r="E96" s="20">
        <v>46.15</v>
      </c>
      <c r="F96" s="19">
        <v>2</v>
      </c>
      <c r="G96" s="19">
        <v>100</v>
      </c>
      <c r="H96" s="19">
        <v>54</v>
      </c>
      <c r="I96" s="19">
        <v>333</v>
      </c>
      <c r="J96" s="19" t="s">
        <v>71</v>
      </c>
      <c r="K96" s="19" t="s">
        <v>125</v>
      </c>
    </row>
    <row r="97" spans="1:11" x14ac:dyDescent="0.3">
      <c r="A97" s="19" t="s">
        <v>275</v>
      </c>
      <c r="B97" s="19" t="s">
        <v>276</v>
      </c>
      <c r="C97" s="19" t="s">
        <v>266</v>
      </c>
      <c r="D97" s="20">
        <v>10.08</v>
      </c>
      <c r="E97" s="20">
        <v>16.77</v>
      </c>
      <c r="F97" s="19">
        <v>14</v>
      </c>
      <c r="G97" s="19">
        <v>25</v>
      </c>
      <c r="H97" s="19">
        <v>48</v>
      </c>
      <c r="I97" s="19">
        <v>306</v>
      </c>
      <c r="J97" s="19" t="s">
        <v>71</v>
      </c>
      <c r="K97" s="19" t="s">
        <v>158</v>
      </c>
    </row>
    <row r="98" spans="1:11" x14ac:dyDescent="0.3">
      <c r="A98" s="19" t="s">
        <v>277</v>
      </c>
      <c r="B98" s="19" t="s">
        <v>278</v>
      </c>
      <c r="C98" s="19" t="s">
        <v>266</v>
      </c>
      <c r="D98" s="20">
        <v>28.78</v>
      </c>
      <c r="E98" s="20">
        <v>41.82</v>
      </c>
      <c r="F98" s="19">
        <v>14</v>
      </c>
      <c r="G98" s="19">
        <v>100</v>
      </c>
      <c r="H98" s="19">
        <v>36</v>
      </c>
      <c r="I98" s="19">
        <v>343</v>
      </c>
      <c r="J98" s="19" t="s">
        <v>65</v>
      </c>
      <c r="K98" s="19" t="s">
        <v>119</v>
      </c>
    </row>
    <row r="99" spans="1:11" x14ac:dyDescent="0.3">
      <c r="A99" s="19" t="s">
        <v>279</v>
      </c>
      <c r="B99" s="19" t="s">
        <v>280</v>
      </c>
      <c r="C99" s="19" t="s">
        <v>266</v>
      </c>
      <c r="D99" s="20">
        <v>29.43</v>
      </c>
      <c r="E99" s="20">
        <v>45.43</v>
      </c>
      <c r="F99" s="19">
        <v>4</v>
      </c>
      <c r="G99" s="19">
        <v>50</v>
      </c>
      <c r="H99" s="19">
        <v>30</v>
      </c>
      <c r="I99" s="19">
        <v>334</v>
      </c>
      <c r="J99" s="19" t="s">
        <v>71</v>
      </c>
      <c r="K99" s="19" t="s">
        <v>101</v>
      </c>
    </row>
    <row r="100" spans="1:11" x14ac:dyDescent="0.3">
      <c r="A100" s="19" t="s">
        <v>281</v>
      </c>
      <c r="B100" s="19" t="s">
        <v>282</v>
      </c>
      <c r="C100" s="19" t="s">
        <v>266</v>
      </c>
      <c r="D100" s="20">
        <v>25.58</v>
      </c>
      <c r="E100" s="20">
        <v>34.64</v>
      </c>
      <c r="F100" s="19">
        <v>4</v>
      </c>
      <c r="G100" s="19">
        <v>25</v>
      </c>
      <c r="H100" s="19">
        <v>24</v>
      </c>
      <c r="I100" s="19">
        <v>352</v>
      </c>
      <c r="J100" s="19" t="s">
        <v>71</v>
      </c>
      <c r="K100" s="19" t="s">
        <v>132</v>
      </c>
    </row>
    <row r="101" spans="1:11" x14ac:dyDescent="0.3">
      <c r="A101" s="19" t="s">
        <v>283</v>
      </c>
      <c r="B101" s="19" t="s">
        <v>284</v>
      </c>
      <c r="C101" s="19" t="s">
        <v>266</v>
      </c>
      <c r="D101" s="20">
        <v>32.299999999999997</v>
      </c>
      <c r="E101" s="20">
        <v>45.29</v>
      </c>
      <c r="F101" s="19">
        <v>14</v>
      </c>
      <c r="G101" s="19">
        <v>20</v>
      </c>
      <c r="H101" s="19">
        <v>36</v>
      </c>
      <c r="I101" s="19">
        <v>323</v>
      </c>
      <c r="J101" s="19" t="s">
        <v>65</v>
      </c>
      <c r="K101" s="19" t="s">
        <v>59</v>
      </c>
    </row>
    <row r="102" spans="1:11" x14ac:dyDescent="0.3">
      <c r="A102" s="19" t="s">
        <v>285</v>
      </c>
      <c r="B102" s="19" t="s">
        <v>286</v>
      </c>
      <c r="C102" s="19" t="s">
        <v>266</v>
      </c>
      <c r="D102" s="20">
        <v>34.340000000000003</v>
      </c>
      <c r="E102" s="20">
        <v>56.92</v>
      </c>
      <c r="F102" s="19">
        <v>4</v>
      </c>
      <c r="G102" s="19">
        <v>25</v>
      </c>
      <c r="H102" s="19">
        <v>48</v>
      </c>
      <c r="I102" s="19">
        <v>325</v>
      </c>
      <c r="J102" s="19" t="s">
        <v>71</v>
      </c>
      <c r="K102" s="19" t="s">
        <v>59</v>
      </c>
    </row>
    <row r="103" spans="1:11" x14ac:dyDescent="0.3">
      <c r="A103" s="19" t="s">
        <v>287</v>
      </c>
      <c r="B103" s="19" t="s">
        <v>288</v>
      </c>
      <c r="C103" s="19" t="s">
        <v>266</v>
      </c>
      <c r="D103" s="20">
        <v>39.619999999999997</v>
      </c>
      <c r="E103" s="20">
        <v>64.55</v>
      </c>
      <c r="F103" s="19">
        <v>2</v>
      </c>
      <c r="G103" s="19">
        <v>10</v>
      </c>
      <c r="H103" s="19">
        <v>60</v>
      </c>
      <c r="I103" s="19">
        <v>333</v>
      </c>
      <c r="J103" s="19" t="s">
        <v>58</v>
      </c>
      <c r="K103" s="19" t="s">
        <v>119</v>
      </c>
    </row>
    <row r="104" spans="1:11" x14ac:dyDescent="0.3">
      <c r="A104" s="19" t="s">
        <v>289</v>
      </c>
      <c r="B104" s="19" t="s">
        <v>290</v>
      </c>
      <c r="C104" s="19" t="s">
        <v>266</v>
      </c>
      <c r="D104" s="20">
        <v>33.770000000000003</v>
      </c>
      <c r="E104" s="20">
        <v>56.08</v>
      </c>
      <c r="F104" s="19">
        <v>7</v>
      </c>
      <c r="G104" s="19">
        <v>20</v>
      </c>
      <c r="H104" s="19">
        <v>48</v>
      </c>
      <c r="I104" s="19">
        <v>326</v>
      </c>
      <c r="J104" s="19" t="s">
        <v>71</v>
      </c>
      <c r="K104" s="19" t="s">
        <v>210</v>
      </c>
    </row>
    <row r="105" spans="1:11" x14ac:dyDescent="0.3">
      <c r="A105" s="19" t="s">
        <v>291</v>
      </c>
      <c r="B105" s="19" t="s">
        <v>292</v>
      </c>
      <c r="C105" s="19" t="s">
        <v>266</v>
      </c>
      <c r="D105" s="20">
        <v>23.71</v>
      </c>
      <c r="E105" s="20">
        <v>33.64</v>
      </c>
      <c r="F105" s="19">
        <v>4</v>
      </c>
      <c r="G105" s="19">
        <v>20</v>
      </c>
      <c r="H105" s="19">
        <v>60</v>
      </c>
      <c r="I105" s="19">
        <v>322</v>
      </c>
      <c r="J105" s="19" t="s">
        <v>65</v>
      </c>
      <c r="K105" s="19" t="s">
        <v>94</v>
      </c>
    </row>
    <row r="106" spans="1:11" x14ac:dyDescent="0.3">
      <c r="A106" s="19" t="s">
        <v>293</v>
      </c>
      <c r="B106" s="19" t="s">
        <v>294</v>
      </c>
      <c r="C106" s="19" t="s">
        <v>266</v>
      </c>
      <c r="D106" s="20">
        <v>18.579999999999998</v>
      </c>
      <c r="E106" s="20">
        <v>31.29</v>
      </c>
      <c r="F106" s="19">
        <v>3</v>
      </c>
      <c r="G106" s="19">
        <v>10</v>
      </c>
      <c r="H106" s="19">
        <v>54</v>
      </c>
      <c r="I106" s="19">
        <v>316</v>
      </c>
      <c r="J106" s="19" t="s">
        <v>65</v>
      </c>
      <c r="K106" s="19" t="s">
        <v>80</v>
      </c>
    </row>
    <row r="107" spans="1:11" x14ac:dyDescent="0.3">
      <c r="A107" s="19" t="s">
        <v>295</v>
      </c>
      <c r="B107" s="19" t="s">
        <v>296</v>
      </c>
      <c r="C107" s="19" t="s">
        <v>266</v>
      </c>
      <c r="D107" s="20">
        <v>23.74</v>
      </c>
      <c r="E107" s="20">
        <v>34.200000000000003</v>
      </c>
      <c r="F107" s="19">
        <v>2</v>
      </c>
      <c r="G107" s="19">
        <v>10</v>
      </c>
      <c r="H107" s="19">
        <v>42</v>
      </c>
      <c r="I107" s="19">
        <v>308</v>
      </c>
      <c r="J107" s="19" t="s">
        <v>65</v>
      </c>
      <c r="K107" s="19" t="s">
        <v>297</v>
      </c>
    </row>
    <row r="108" spans="1:11" x14ac:dyDescent="0.3">
      <c r="A108" s="19" t="s">
        <v>298</v>
      </c>
      <c r="B108" s="19" t="s">
        <v>299</v>
      </c>
      <c r="C108" s="19" t="s">
        <v>266</v>
      </c>
      <c r="D108" s="20">
        <v>9.43</v>
      </c>
      <c r="E108" s="20">
        <v>13.56</v>
      </c>
      <c r="F108" s="19">
        <v>4</v>
      </c>
      <c r="G108" s="19">
        <v>50</v>
      </c>
      <c r="H108" s="19">
        <v>24</v>
      </c>
      <c r="I108" s="19">
        <v>319</v>
      </c>
      <c r="J108" s="19" t="s">
        <v>71</v>
      </c>
      <c r="K108" s="19" t="s">
        <v>72</v>
      </c>
    </row>
    <row r="109" spans="1:11" x14ac:dyDescent="0.3">
      <c r="A109" s="19" t="s">
        <v>300</v>
      </c>
      <c r="B109" s="19" t="s">
        <v>301</v>
      </c>
      <c r="C109" s="19" t="s">
        <v>266</v>
      </c>
      <c r="D109" s="20">
        <v>10.51</v>
      </c>
      <c r="E109" s="20">
        <v>15.31</v>
      </c>
      <c r="F109" s="19">
        <v>5</v>
      </c>
      <c r="G109" s="19">
        <v>25</v>
      </c>
      <c r="H109" s="19">
        <v>24</v>
      </c>
      <c r="I109" s="19">
        <v>314</v>
      </c>
      <c r="J109" s="19" t="s">
        <v>75</v>
      </c>
      <c r="K109" s="19" t="s">
        <v>59</v>
      </c>
    </row>
    <row r="110" spans="1:11" x14ac:dyDescent="0.3">
      <c r="A110" s="19" t="s">
        <v>302</v>
      </c>
      <c r="B110" s="19" t="s">
        <v>303</v>
      </c>
      <c r="C110" s="19" t="s">
        <v>266</v>
      </c>
      <c r="D110" s="20">
        <v>11.41</v>
      </c>
      <c r="E110" s="20">
        <v>18.809999999999999</v>
      </c>
      <c r="F110" s="19">
        <v>5</v>
      </c>
      <c r="G110" s="19">
        <v>50</v>
      </c>
      <c r="H110" s="19">
        <v>36</v>
      </c>
      <c r="I110" s="19">
        <v>338</v>
      </c>
      <c r="J110" s="19" t="s">
        <v>71</v>
      </c>
      <c r="K110" s="19" t="s">
        <v>213</v>
      </c>
    </row>
    <row r="111" spans="1:11" x14ac:dyDescent="0.3">
      <c r="A111" s="19" t="s">
        <v>304</v>
      </c>
      <c r="B111" s="19" t="s">
        <v>305</v>
      </c>
      <c r="C111" s="19" t="s">
        <v>266</v>
      </c>
      <c r="D111" s="20">
        <v>13.27</v>
      </c>
      <c r="E111" s="20">
        <v>22.29</v>
      </c>
      <c r="F111" s="19">
        <v>2</v>
      </c>
      <c r="G111" s="19">
        <v>20</v>
      </c>
      <c r="H111" s="19">
        <v>54</v>
      </c>
      <c r="I111" s="19">
        <v>326</v>
      </c>
      <c r="J111" s="19" t="s">
        <v>71</v>
      </c>
      <c r="K111" s="19" t="s">
        <v>119</v>
      </c>
    </row>
    <row r="112" spans="1:11" x14ac:dyDescent="0.3">
      <c r="A112" s="19" t="s">
        <v>306</v>
      </c>
      <c r="B112" s="19" t="s">
        <v>307</v>
      </c>
      <c r="C112" s="19" t="s">
        <v>266</v>
      </c>
      <c r="D112" s="20">
        <v>21.54</v>
      </c>
      <c r="E112" s="20">
        <v>32.47</v>
      </c>
      <c r="F112" s="19">
        <v>14</v>
      </c>
      <c r="G112" s="19">
        <v>50</v>
      </c>
      <c r="H112" s="19">
        <v>30</v>
      </c>
      <c r="I112" s="19">
        <v>316</v>
      </c>
      <c r="J112" s="19" t="s">
        <v>65</v>
      </c>
      <c r="K112" s="19" t="s">
        <v>59</v>
      </c>
    </row>
    <row r="113" spans="1:11" x14ac:dyDescent="0.3">
      <c r="A113" s="19" t="s">
        <v>308</v>
      </c>
      <c r="B113" s="19" t="s">
        <v>309</v>
      </c>
      <c r="C113" s="19" t="s">
        <v>266</v>
      </c>
      <c r="D113" s="20">
        <v>11.45</v>
      </c>
      <c r="E113" s="20">
        <v>19.22</v>
      </c>
      <c r="F113" s="19">
        <v>14</v>
      </c>
      <c r="G113" s="19">
        <v>10</v>
      </c>
      <c r="H113" s="19">
        <v>30</v>
      </c>
      <c r="I113" s="19">
        <v>304</v>
      </c>
      <c r="J113" s="19" t="s">
        <v>71</v>
      </c>
      <c r="K113" s="19" t="s">
        <v>203</v>
      </c>
    </row>
    <row r="114" spans="1:11" x14ac:dyDescent="0.3">
      <c r="A114" s="19" t="s">
        <v>310</v>
      </c>
      <c r="B114" s="19" t="s">
        <v>311</v>
      </c>
      <c r="C114" s="19" t="s">
        <v>266</v>
      </c>
      <c r="D114" s="20">
        <v>26.46</v>
      </c>
      <c r="E114" s="20">
        <v>39.75</v>
      </c>
      <c r="F114" s="19">
        <v>4</v>
      </c>
      <c r="G114" s="19">
        <v>10</v>
      </c>
      <c r="H114" s="19">
        <v>36</v>
      </c>
      <c r="I114" s="19">
        <v>308</v>
      </c>
      <c r="J114" s="19" t="s">
        <v>75</v>
      </c>
      <c r="K114" s="19" t="s">
        <v>62</v>
      </c>
    </row>
    <row r="115" spans="1:11" x14ac:dyDescent="0.3">
      <c r="A115" s="19" t="s">
        <v>312</v>
      </c>
      <c r="B115" s="19" t="s">
        <v>313</v>
      </c>
      <c r="C115" s="19" t="s">
        <v>266</v>
      </c>
      <c r="D115" s="20">
        <v>13.31</v>
      </c>
      <c r="E115" s="20">
        <v>19.149999999999999</v>
      </c>
      <c r="F115" s="19">
        <v>2</v>
      </c>
      <c r="G115" s="19">
        <v>20</v>
      </c>
      <c r="H115" s="19">
        <v>42</v>
      </c>
      <c r="I115" s="19">
        <v>357</v>
      </c>
      <c r="J115" s="19" t="s">
        <v>75</v>
      </c>
      <c r="K115" s="19" t="s">
        <v>87</v>
      </c>
    </row>
    <row r="116" spans="1:11" x14ac:dyDescent="0.3">
      <c r="A116" s="19" t="s">
        <v>314</v>
      </c>
      <c r="B116" s="19" t="s">
        <v>315</v>
      </c>
      <c r="C116" s="19" t="s">
        <v>266</v>
      </c>
      <c r="D116" s="20">
        <v>23.6</v>
      </c>
      <c r="E116" s="20">
        <v>35.17</v>
      </c>
      <c r="F116" s="19">
        <v>7</v>
      </c>
      <c r="G116" s="19">
        <v>10</v>
      </c>
      <c r="H116" s="19">
        <v>42</v>
      </c>
      <c r="I116" s="19">
        <v>335</v>
      </c>
      <c r="J116" s="19" t="s">
        <v>75</v>
      </c>
      <c r="K116" s="19" t="s">
        <v>59</v>
      </c>
    </row>
    <row r="117" spans="1:11" x14ac:dyDescent="0.3">
      <c r="A117" s="19" t="s">
        <v>316</v>
      </c>
      <c r="B117" s="19" t="s">
        <v>317</v>
      </c>
      <c r="C117" s="19" t="s">
        <v>266</v>
      </c>
      <c r="D117" s="20">
        <v>18.66</v>
      </c>
      <c r="E117" s="20">
        <v>25.52</v>
      </c>
      <c r="F117" s="19">
        <v>4</v>
      </c>
      <c r="G117" s="19">
        <v>10</v>
      </c>
      <c r="H117" s="19">
        <v>60</v>
      </c>
      <c r="I117" s="19">
        <v>361</v>
      </c>
      <c r="J117" s="19" t="s">
        <v>71</v>
      </c>
      <c r="K117" s="19" t="s">
        <v>132</v>
      </c>
    </row>
    <row r="118" spans="1:11" x14ac:dyDescent="0.3">
      <c r="A118" s="19" t="s">
        <v>318</v>
      </c>
      <c r="B118" s="19" t="s">
        <v>319</v>
      </c>
      <c r="C118" s="19" t="s">
        <v>266</v>
      </c>
      <c r="D118" s="20">
        <v>13.48</v>
      </c>
      <c r="E118" s="20">
        <v>22.56</v>
      </c>
      <c r="F118" s="19">
        <v>4</v>
      </c>
      <c r="G118" s="19">
        <v>50</v>
      </c>
      <c r="H118" s="19">
        <v>42</v>
      </c>
      <c r="I118" s="19">
        <v>328</v>
      </c>
      <c r="J118" s="19" t="s">
        <v>71</v>
      </c>
      <c r="K118" s="19" t="s">
        <v>72</v>
      </c>
    </row>
    <row r="119" spans="1:11" x14ac:dyDescent="0.3">
      <c r="A119" s="19" t="s">
        <v>320</v>
      </c>
      <c r="B119" s="19" t="s">
        <v>321</v>
      </c>
      <c r="C119" s="19" t="s">
        <v>266</v>
      </c>
      <c r="D119" s="20">
        <v>11.09</v>
      </c>
      <c r="E119" s="20">
        <v>17.43</v>
      </c>
      <c r="F119" s="19">
        <v>4</v>
      </c>
      <c r="G119" s="19">
        <v>10</v>
      </c>
      <c r="H119" s="19">
        <v>24</v>
      </c>
      <c r="I119" s="19">
        <v>332</v>
      </c>
      <c r="J119" s="19" t="s">
        <v>71</v>
      </c>
      <c r="K119" s="19" t="s">
        <v>146</v>
      </c>
    </row>
    <row r="120" spans="1:11" x14ac:dyDescent="0.3">
      <c r="A120" s="19" t="s">
        <v>322</v>
      </c>
      <c r="B120" s="19" t="s">
        <v>323</v>
      </c>
      <c r="C120" s="19" t="s">
        <v>266</v>
      </c>
      <c r="D120" s="20">
        <v>28.99</v>
      </c>
      <c r="E120" s="20">
        <v>43.93</v>
      </c>
      <c r="F120" s="19">
        <v>5</v>
      </c>
      <c r="G120" s="19">
        <v>20</v>
      </c>
      <c r="H120" s="19">
        <v>48</v>
      </c>
      <c r="I120" s="19">
        <v>362</v>
      </c>
      <c r="J120" s="19" t="s">
        <v>65</v>
      </c>
      <c r="K120" s="19" t="s">
        <v>66</v>
      </c>
    </row>
    <row r="121" spans="1:11" x14ac:dyDescent="0.3">
      <c r="A121" s="19" t="s">
        <v>324</v>
      </c>
      <c r="B121" s="19" t="s">
        <v>325</v>
      </c>
      <c r="C121" s="19" t="s">
        <v>266</v>
      </c>
      <c r="D121" s="20">
        <v>34.979999999999997</v>
      </c>
      <c r="E121" s="20">
        <v>59.37</v>
      </c>
      <c r="F121" s="19">
        <v>5</v>
      </c>
      <c r="G121" s="19">
        <v>50</v>
      </c>
      <c r="H121" s="19">
        <v>60</v>
      </c>
      <c r="I121" s="19">
        <v>329</v>
      </c>
      <c r="J121" s="19" t="s">
        <v>71</v>
      </c>
      <c r="K121" s="19" t="s">
        <v>326</v>
      </c>
    </row>
    <row r="122" spans="1:11" x14ac:dyDescent="0.3">
      <c r="A122" s="19" t="s">
        <v>327</v>
      </c>
      <c r="B122" s="19" t="s">
        <v>328</v>
      </c>
      <c r="C122" s="19" t="s">
        <v>329</v>
      </c>
      <c r="D122" s="20">
        <v>217.07</v>
      </c>
      <c r="E122" s="20">
        <v>274.02</v>
      </c>
      <c r="F122" s="19">
        <v>7</v>
      </c>
      <c r="G122" s="19">
        <v>25</v>
      </c>
      <c r="H122" s="19">
        <v>6</v>
      </c>
      <c r="I122" s="19">
        <v>339</v>
      </c>
      <c r="J122" s="19" t="s">
        <v>58</v>
      </c>
      <c r="K122" s="19" t="s">
        <v>330</v>
      </c>
    </row>
    <row r="123" spans="1:11" x14ac:dyDescent="0.3">
      <c r="A123" s="19" t="s">
        <v>331</v>
      </c>
      <c r="B123" s="19" t="s">
        <v>332</v>
      </c>
      <c r="C123" s="19" t="s">
        <v>329</v>
      </c>
      <c r="D123" s="20">
        <v>229.62</v>
      </c>
      <c r="E123" s="20">
        <v>269.83999999999997</v>
      </c>
      <c r="F123" s="19">
        <v>2</v>
      </c>
      <c r="G123" s="19">
        <v>20</v>
      </c>
      <c r="H123" s="19">
        <v>6</v>
      </c>
      <c r="I123" s="19">
        <v>349</v>
      </c>
      <c r="J123" s="19" t="s">
        <v>58</v>
      </c>
      <c r="K123" s="19" t="s">
        <v>101</v>
      </c>
    </row>
    <row r="124" spans="1:11" x14ac:dyDescent="0.3">
      <c r="A124" s="19" t="s">
        <v>333</v>
      </c>
      <c r="B124" s="19" t="s">
        <v>334</v>
      </c>
      <c r="C124" s="19" t="s">
        <v>329</v>
      </c>
      <c r="D124" s="20">
        <v>344.57</v>
      </c>
      <c r="E124" s="20">
        <v>455.56</v>
      </c>
      <c r="F124" s="19">
        <v>14</v>
      </c>
      <c r="G124" s="19">
        <v>50</v>
      </c>
      <c r="H124" s="19">
        <v>12</v>
      </c>
      <c r="I124" s="19">
        <v>293</v>
      </c>
      <c r="J124" s="19" t="s">
        <v>58</v>
      </c>
      <c r="K124" s="19" t="s">
        <v>106</v>
      </c>
    </row>
    <row r="125" spans="1:11" x14ac:dyDescent="0.3">
      <c r="A125" s="19" t="s">
        <v>335</v>
      </c>
      <c r="B125" s="19" t="s">
        <v>336</v>
      </c>
      <c r="C125" s="19" t="s">
        <v>329</v>
      </c>
      <c r="D125" s="20">
        <v>309.41000000000003</v>
      </c>
      <c r="E125" s="20">
        <v>412.15</v>
      </c>
      <c r="F125" s="19">
        <v>3</v>
      </c>
      <c r="G125" s="19">
        <v>100</v>
      </c>
      <c r="H125" s="19">
        <v>6</v>
      </c>
      <c r="I125" s="19">
        <v>341</v>
      </c>
      <c r="J125" s="19" t="s">
        <v>65</v>
      </c>
      <c r="K125" s="19" t="s">
        <v>59</v>
      </c>
    </row>
    <row r="126" spans="1:11" x14ac:dyDescent="0.3">
      <c r="A126" s="19" t="s">
        <v>337</v>
      </c>
      <c r="B126" s="19" t="s">
        <v>338</v>
      </c>
      <c r="C126" s="19" t="s">
        <v>329</v>
      </c>
      <c r="D126" s="20">
        <v>188.97</v>
      </c>
      <c r="E126" s="20">
        <v>254.21</v>
      </c>
      <c r="F126" s="19">
        <v>5</v>
      </c>
      <c r="G126" s="19">
        <v>50</v>
      </c>
      <c r="H126" s="19">
        <v>12</v>
      </c>
      <c r="I126" s="19">
        <v>308</v>
      </c>
      <c r="J126" s="19" t="s">
        <v>58</v>
      </c>
      <c r="K126" s="19" t="s">
        <v>146</v>
      </c>
    </row>
    <row r="127" spans="1:11" x14ac:dyDescent="0.3">
      <c r="A127" s="19" t="s">
        <v>339</v>
      </c>
      <c r="B127" s="19" t="s">
        <v>340</v>
      </c>
      <c r="C127" s="19" t="s">
        <v>329</v>
      </c>
      <c r="D127" s="20">
        <v>398.22</v>
      </c>
      <c r="E127" s="20">
        <v>525.97</v>
      </c>
      <c r="F127" s="19">
        <v>4</v>
      </c>
      <c r="G127" s="19">
        <v>100</v>
      </c>
      <c r="H127" s="19">
        <v>6</v>
      </c>
      <c r="I127" s="19">
        <v>301</v>
      </c>
      <c r="J127" s="19" t="s">
        <v>58</v>
      </c>
      <c r="K127" s="19" t="s">
        <v>98</v>
      </c>
    </row>
    <row r="128" spans="1:11" x14ac:dyDescent="0.3">
      <c r="A128" s="19" t="s">
        <v>341</v>
      </c>
      <c r="B128" s="19" t="s">
        <v>342</v>
      </c>
      <c r="C128" s="19" t="s">
        <v>329</v>
      </c>
      <c r="D128" s="20">
        <v>390.31</v>
      </c>
      <c r="E128" s="20">
        <v>520.98</v>
      </c>
      <c r="F128" s="19">
        <v>14</v>
      </c>
      <c r="G128" s="19">
        <v>100</v>
      </c>
      <c r="H128" s="19">
        <v>6</v>
      </c>
      <c r="I128" s="19">
        <v>350</v>
      </c>
      <c r="J128" s="19" t="s">
        <v>97</v>
      </c>
      <c r="K128" s="19" t="s">
        <v>72</v>
      </c>
    </row>
    <row r="129" spans="1:11" x14ac:dyDescent="0.3">
      <c r="A129" s="19" t="s">
        <v>343</v>
      </c>
      <c r="B129" s="19" t="s">
        <v>344</v>
      </c>
      <c r="C129" s="19" t="s">
        <v>329</v>
      </c>
      <c r="D129" s="20">
        <v>299.24</v>
      </c>
      <c r="E129" s="20">
        <v>361.44</v>
      </c>
      <c r="F129" s="19">
        <v>3</v>
      </c>
      <c r="G129" s="19">
        <v>25</v>
      </c>
      <c r="H129" s="19">
        <v>6</v>
      </c>
      <c r="I129" s="19">
        <v>299</v>
      </c>
      <c r="J129" s="19" t="s">
        <v>58</v>
      </c>
      <c r="K129" s="19" t="s">
        <v>106</v>
      </c>
    </row>
    <row r="130" spans="1:11" x14ac:dyDescent="0.3">
      <c r="A130" s="19" t="s">
        <v>345</v>
      </c>
      <c r="B130" s="19" t="s">
        <v>346</v>
      </c>
      <c r="C130" s="19" t="s">
        <v>329</v>
      </c>
      <c r="D130" s="20">
        <v>372.59</v>
      </c>
      <c r="E130" s="20">
        <v>440.98</v>
      </c>
      <c r="F130" s="19">
        <v>2</v>
      </c>
      <c r="G130" s="19">
        <v>20</v>
      </c>
      <c r="H130" s="19">
        <v>6</v>
      </c>
      <c r="I130" s="19">
        <v>270</v>
      </c>
      <c r="J130" s="19" t="s">
        <v>75</v>
      </c>
      <c r="K130" s="19" t="s">
        <v>72</v>
      </c>
    </row>
    <row r="131" spans="1:11" x14ac:dyDescent="0.3">
      <c r="A131" s="19" t="s">
        <v>347</v>
      </c>
      <c r="B131" s="19" t="s">
        <v>348</v>
      </c>
      <c r="C131" s="19" t="s">
        <v>329</v>
      </c>
      <c r="D131" s="20">
        <v>419.53</v>
      </c>
      <c r="E131" s="20">
        <v>498.62</v>
      </c>
      <c r="F131" s="19">
        <v>3</v>
      </c>
      <c r="G131" s="19">
        <v>10</v>
      </c>
      <c r="H131" s="19">
        <v>6</v>
      </c>
      <c r="I131" s="19">
        <v>360</v>
      </c>
      <c r="J131" s="19" t="s">
        <v>75</v>
      </c>
      <c r="K131" s="19" t="s">
        <v>101</v>
      </c>
    </row>
    <row r="132" spans="1:11" x14ac:dyDescent="0.3">
      <c r="A132" s="19" t="s">
        <v>349</v>
      </c>
      <c r="B132" s="19" t="s">
        <v>350</v>
      </c>
      <c r="C132" s="19" t="s">
        <v>329</v>
      </c>
      <c r="D132" s="20">
        <v>348.85</v>
      </c>
      <c r="E132" s="20">
        <v>420.06</v>
      </c>
      <c r="F132" s="19">
        <v>3</v>
      </c>
      <c r="G132" s="19">
        <v>50</v>
      </c>
      <c r="H132" s="19">
        <v>6</v>
      </c>
      <c r="I132" s="19">
        <v>354</v>
      </c>
      <c r="J132" s="19" t="s">
        <v>58</v>
      </c>
      <c r="K132" s="19" t="s">
        <v>66</v>
      </c>
    </row>
    <row r="133" spans="1:11" x14ac:dyDescent="0.3">
      <c r="A133" s="19" t="s">
        <v>351</v>
      </c>
      <c r="B133" s="19" t="s">
        <v>352</v>
      </c>
      <c r="C133" s="19" t="s">
        <v>329</v>
      </c>
      <c r="D133" s="20">
        <v>313.3</v>
      </c>
      <c r="E133" s="20">
        <v>401.19</v>
      </c>
      <c r="F133" s="19">
        <v>14</v>
      </c>
      <c r="G133" s="19">
        <v>10</v>
      </c>
      <c r="H133" s="19">
        <v>12</v>
      </c>
      <c r="I133" s="19">
        <v>270</v>
      </c>
      <c r="J133" s="19" t="s">
        <v>58</v>
      </c>
      <c r="K133" s="19" t="s">
        <v>106</v>
      </c>
    </row>
    <row r="134" spans="1:11" x14ac:dyDescent="0.3">
      <c r="A134" s="19" t="s">
        <v>353</v>
      </c>
      <c r="B134" s="19" t="s">
        <v>354</v>
      </c>
      <c r="C134" s="19" t="s">
        <v>329</v>
      </c>
      <c r="D134" s="20">
        <v>412.07</v>
      </c>
      <c r="E134" s="20">
        <v>500.12</v>
      </c>
      <c r="F134" s="19">
        <v>3</v>
      </c>
      <c r="G134" s="19">
        <v>25</v>
      </c>
      <c r="H134" s="19">
        <v>6</v>
      </c>
      <c r="I134" s="19">
        <v>314</v>
      </c>
      <c r="J134" s="19" t="s">
        <v>75</v>
      </c>
      <c r="K134" s="19" t="s">
        <v>59</v>
      </c>
    </row>
    <row r="135" spans="1:11" x14ac:dyDescent="0.3">
      <c r="A135" s="19" t="s">
        <v>355</v>
      </c>
      <c r="B135" s="19" t="s">
        <v>356</v>
      </c>
      <c r="C135" s="19" t="s">
        <v>329</v>
      </c>
      <c r="D135" s="20">
        <v>221.67</v>
      </c>
      <c r="E135" s="20">
        <v>269.18</v>
      </c>
      <c r="F135" s="19">
        <v>10</v>
      </c>
      <c r="G135" s="19">
        <v>50</v>
      </c>
      <c r="H135" s="19">
        <v>12</v>
      </c>
      <c r="I135" s="19">
        <v>292</v>
      </c>
      <c r="J135" s="19" t="s">
        <v>58</v>
      </c>
      <c r="K135" s="19" t="s">
        <v>158</v>
      </c>
    </row>
    <row r="136" spans="1:11" x14ac:dyDescent="0.3">
      <c r="A136" s="19" t="s">
        <v>357</v>
      </c>
      <c r="B136" s="19" t="s">
        <v>358</v>
      </c>
      <c r="C136" s="19" t="s">
        <v>329</v>
      </c>
      <c r="D136" s="20">
        <v>378.88</v>
      </c>
      <c r="E136" s="20">
        <v>442.99</v>
      </c>
      <c r="F136" s="19">
        <v>4</v>
      </c>
      <c r="G136" s="19">
        <v>25</v>
      </c>
      <c r="H136" s="19">
        <v>6</v>
      </c>
      <c r="I136" s="19">
        <v>284</v>
      </c>
      <c r="J136" s="19" t="s">
        <v>58</v>
      </c>
      <c r="K136" s="19" t="s">
        <v>197</v>
      </c>
    </row>
    <row r="137" spans="1:11" x14ac:dyDescent="0.3">
      <c r="A137" s="19" t="s">
        <v>359</v>
      </c>
      <c r="B137" s="19" t="s">
        <v>360</v>
      </c>
      <c r="C137" s="19" t="s">
        <v>329</v>
      </c>
      <c r="D137" s="20">
        <v>343.37</v>
      </c>
      <c r="E137" s="20">
        <v>397.27</v>
      </c>
      <c r="F137" s="19">
        <v>7</v>
      </c>
      <c r="G137" s="19">
        <v>50</v>
      </c>
      <c r="H137" s="19">
        <v>6</v>
      </c>
      <c r="I137" s="19">
        <v>302</v>
      </c>
      <c r="J137" s="19" t="s">
        <v>58</v>
      </c>
      <c r="K137" s="19" t="s">
        <v>197</v>
      </c>
    </row>
    <row r="138" spans="1:11" x14ac:dyDescent="0.3">
      <c r="A138" s="19" t="s">
        <v>361</v>
      </c>
      <c r="B138" s="19" t="s">
        <v>362</v>
      </c>
      <c r="C138" s="19" t="s">
        <v>329</v>
      </c>
      <c r="D138" s="20">
        <v>359.86</v>
      </c>
      <c r="E138" s="20">
        <v>452.63</v>
      </c>
      <c r="F138" s="19">
        <v>2</v>
      </c>
      <c r="G138" s="19">
        <v>10</v>
      </c>
      <c r="H138" s="19">
        <v>6</v>
      </c>
      <c r="I138" s="19">
        <v>348</v>
      </c>
      <c r="J138" s="19" t="s">
        <v>58</v>
      </c>
      <c r="K138" s="19" t="s">
        <v>101</v>
      </c>
    </row>
    <row r="139" spans="1:11" x14ac:dyDescent="0.3">
      <c r="A139" s="19" t="s">
        <v>363</v>
      </c>
      <c r="B139" s="19" t="s">
        <v>364</v>
      </c>
      <c r="C139" s="19" t="s">
        <v>329</v>
      </c>
      <c r="D139" s="20">
        <v>237.99</v>
      </c>
      <c r="E139" s="20">
        <v>291.2</v>
      </c>
      <c r="F139" s="19">
        <v>3</v>
      </c>
      <c r="G139" s="19">
        <v>50</v>
      </c>
      <c r="H139" s="19">
        <v>12</v>
      </c>
      <c r="I139" s="19">
        <v>309</v>
      </c>
      <c r="J139" s="19" t="s">
        <v>58</v>
      </c>
      <c r="K139" s="19" t="s">
        <v>66</v>
      </c>
    </row>
    <row r="140" spans="1:11" x14ac:dyDescent="0.3">
      <c r="A140" s="19" t="s">
        <v>365</v>
      </c>
      <c r="B140" s="19" t="s">
        <v>366</v>
      </c>
      <c r="C140" s="19" t="s">
        <v>329</v>
      </c>
      <c r="D140" s="20">
        <v>359.86</v>
      </c>
      <c r="E140" s="20">
        <v>442.52</v>
      </c>
      <c r="F140" s="19">
        <v>10</v>
      </c>
      <c r="G140" s="19">
        <v>10</v>
      </c>
      <c r="H140" s="19">
        <v>12</v>
      </c>
      <c r="I140" s="19">
        <v>365</v>
      </c>
      <c r="J140" s="19" t="s">
        <v>75</v>
      </c>
      <c r="K140" s="19" t="s">
        <v>213</v>
      </c>
    </row>
    <row r="141" spans="1:11" x14ac:dyDescent="0.3">
      <c r="A141" s="19" t="s">
        <v>367</v>
      </c>
      <c r="B141" s="19" t="s">
        <v>368</v>
      </c>
      <c r="C141" s="19" t="s">
        <v>329</v>
      </c>
      <c r="D141" s="20">
        <v>376.77</v>
      </c>
      <c r="E141" s="20">
        <v>447.78</v>
      </c>
      <c r="F141" s="19">
        <v>3</v>
      </c>
      <c r="G141" s="19">
        <v>25</v>
      </c>
      <c r="H141" s="19">
        <v>12</v>
      </c>
      <c r="I141" s="19">
        <v>329</v>
      </c>
      <c r="J141" s="19" t="s">
        <v>58</v>
      </c>
      <c r="K141" s="19" t="s">
        <v>122</v>
      </c>
    </row>
    <row r="142" spans="1:11" x14ac:dyDescent="0.3">
      <c r="A142" s="19" t="s">
        <v>369</v>
      </c>
      <c r="B142" s="19" t="s">
        <v>370</v>
      </c>
      <c r="C142" s="19" t="s">
        <v>329</v>
      </c>
      <c r="D142" s="20">
        <v>267.31</v>
      </c>
      <c r="E142" s="20">
        <v>351.7</v>
      </c>
      <c r="F142" s="19">
        <v>5</v>
      </c>
      <c r="G142" s="19">
        <v>10</v>
      </c>
      <c r="H142" s="19">
        <v>6</v>
      </c>
      <c r="I142" s="19">
        <v>338</v>
      </c>
      <c r="J142" s="19" t="s">
        <v>58</v>
      </c>
      <c r="K142" s="19" t="s">
        <v>98</v>
      </c>
    </row>
    <row r="143" spans="1:11" x14ac:dyDescent="0.3">
      <c r="A143" s="19" t="s">
        <v>371</v>
      </c>
      <c r="B143" s="19" t="s">
        <v>372</v>
      </c>
      <c r="C143" s="19" t="s">
        <v>329</v>
      </c>
      <c r="D143" s="20">
        <v>337.69</v>
      </c>
      <c r="E143" s="20">
        <v>444.17</v>
      </c>
      <c r="F143" s="19">
        <v>5</v>
      </c>
      <c r="G143" s="19">
        <v>10</v>
      </c>
      <c r="H143" s="19">
        <v>6</v>
      </c>
      <c r="I143" s="19">
        <v>303</v>
      </c>
      <c r="J143" s="19" t="s">
        <v>75</v>
      </c>
      <c r="K143" s="19" t="s">
        <v>122</v>
      </c>
    </row>
    <row r="144" spans="1:11" x14ac:dyDescent="0.3">
      <c r="A144" s="19" t="s">
        <v>373</v>
      </c>
      <c r="B144" s="19" t="s">
        <v>374</v>
      </c>
      <c r="C144" s="19" t="s">
        <v>329</v>
      </c>
      <c r="D144" s="20">
        <v>271.79000000000002</v>
      </c>
      <c r="E144" s="20">
        <v>349.34</v>
      </c>
      <c r="F144" s="19">
        <v>4</v>
      </c>
      <c r="G144" s="19">
        <v>10</v>
      </c>
      <c r="H144" s="19">
        <v>12</v>
      </c>
      <c r="I144" s="19">
        <v>276</v>
      </c>
      <c r="J144" s="19" t="s">
        <v>58</v>
      </c>
      <c r="K144" s="19" t="s">
        <v>66</v>
      </c>
    </row>
    <row r="145" spans="1:11" x14ac:dyDescent="0.3">
      <c r="A145" s="19" t="s">
        <v>375</v>
      </c>
      <c r="B145" s="19" t="s">
        <v>376</v>
      </c>
      <c r="C145" s="19" t="s">
        <v>329</v>
      </c>
      <c r="D145" s="20">
        <v>241.87</v>
      </c>
      <c r="E145" s="20">
        <v>323.41000000000003</v>
      </c>
      <c r="F145" s="19">
        <v>2</v>
      </c>
      <c r="G145" s="19">
        <v>20</v>
      </c>
      <c r="H145" s="19">
        <v>6</v>
      </c>
      <c r="I145" s="19">
        <v>315</v>
      </c>
      <c r="J145" s="19" t="s">
        <v>75</v>
      </c>
      <c r="K145" s="19" t="s">
        <v>210</v>
      </c>
    </row>
    <row r="146" spans="1:11" x14ac:dyDescent="0.3">
      <c r="A146" s="19" t="s">
        <v>377</v>
      </c>
      <c r="B146" s="19" t="s">
        <v>378</v>
      </c>
      <c r="C146" s="19" t="s">
        <v>329</v>
      </c>
      <c r="D146" s="20">
        <v>113.71</v>
      </c>
      <c r="E146" s="20">
        <v>135.47</v>
      </c>
      <c r="F146" s="19">
        <v>5</v>
      </c>
      <c r="G146" s="19">
        <v>10</v>
      </c>
      <c r="H146" s="19">
        <v>6</v>
      </c>
      <c r="I146" s="19">
        <v>310</v>
      </c>
      <c r="J146" s="19" t="s">
        <v>58</v>
      </c>
      <c r="K146" s="19" t="s">
        <v>80</v>
      </c>
    </row>
    <row r="147" spans="1:11" x14ac:dyDescent="0.3">
      <c r="A147" s="19" t="s">
        <v>379</v>
      </c>
      <c r="B147" s="19" t="s">
        <v>380</v>
      </c>
      <c r="C147" s="19" t="s">
        <v>329</v>
      </c>
      <c r="D147" s="20">
        <v>170.03</v>
      </c>
      <c r="E147" s="20">
        <v>216.29</v>
      </c>
      <c r="F147" s="19">
        <v>3</v>
      </c>
      <c r="G147" s="19">
        <v>100</v>
      </c>
      <c r="H147" s="19">
        <v>6</v>
      </c>
      <c r="I147" s="19">
        <v>310</v>
      </c>
      <c r="J147" s="19" t="s">
        <v>97</v>
      </c>
      <c r="K147" s="19" t="s">
        <v>72</v>
      </c>
    </row>
    <row r="148" spans="1:11" x14ac:dyDescent="0.3">
      <c r="A148" s="19" t="s">
        <v>381</v>
      </c>
      <c r="B148" s="19" t="s">
        <v>382</v>
      </c>
      <c r="C148" s="19" t="s">
        <v>329</v>
      </c>
      <c r="D148" s="20">
        <v>121.47</v>
      </c>
      <c r="E148" s="20">
        <v>160.4</v>
      </c>
      <c r="F148" s="19">
        <v>2</v>
      </c>
      <c r="G148" s="19">
        <v>100</v>
      </c>
      <c r="H148" s="19">
        <v>12</v>
      </c>
      <c r="I148" s="19">
        <v>342</v>
      </c>
      <c r="J148" s="19" t="s">
        <v>75</v>
      </c>
      <c r="K148" s="19" t="s">
        <v>72</v>
      </c>
    </row>
    <row r="149" spans="1:11" x14ac:dyDescent="0.3">
      <c r="A149" s="19" t="s">
        <v>383</v>
      </c>
      <c r="B149" s="19" t="s">
        <v>384</v>
      </c>
      <c r="C149" s="19" t="s">
        <v>329</v>
      </c>
      <c r="D149" s="20">
        <v>276.13</v>
      </c>
      <c r="E149" s="20">
        <v>362.07</v>
      </c>
      <c r="F149" s="19">
        <v>3</v>
      </c>
      <c r="G149" s="19">
        <v>100</v>
      </c>
      <c r="H149" s="19">
        <v>12</v>
      </c>
      <c r="I149" s="19">
        <v>358</v>
      </c>
      <c r="J149" s="19" t="s">
        <v>58</v>
      </c>
      <c r="K149" s="19" t="s">
        <v>98</v>
      </c>
    </row>
    <row r="150" spans="1:11" x14ac:dyDescent="0.3">
      <c r="A150" s="19" t="s">
        <v>385</v>
      </c>
      <c r="B150" s="19" t="s">
        <v>386</v>
      </c>
      <c r="C150" s="19" t="s">
        <v>329</v>
      </c>
      <c r="D150" s="20">
        <v>215.16</v>
      </c>
      <c r="E150" s="20">
        <v>272.60000000000002</v>
      </c>
      <c r="F150" s="19">
        <v>7</v>
      </c>
      <c r="G150" s="19">
        <v>20</v>
      </c>
      <c r="H150" s="19">
        <v>6</v>
      </c>
      <c r="I150" s="19">
        <v>282</v>
      </c>
      <c r="J150" s="19" t="s">
        <v>58</v>
      </c>
      <c r="K150" s="19" t="s">
        <v>132</v>
      </c>
    </row>
    <row r="151" spans="1:11" x14ac:dyDescent="0.3">
      <c r="A151" s="19" t="s">
        <v>387</v>
      </c>
      <c r="B151" s="19" t="s">
        <v>388</v>
      </c>
      <c r="C151" s="19" t="s">
        <v>329</v>
      </c>
      <c r="D151" s="20">
        <v>201.95</v>
      </c>
      <c r="E151" s="20">
        <v>248.75</v>
      </c>
      <c r="F151" s="19">
        <v>5</v>
      </c>
      <c r="G151" s="19">
        <v>100</v>
      </c>
      <c r="H151" s="19">
        <v>12</v>
      </c>
      <c r="I151" s="19">
        <v>312</v>
      </c>
      <c r="J151" s="19" t="s">
        <v>71</v>
      </c>
      <c r="K151" s="19" t="s">
        <v>59</v>
      </c>
    </row>
  </sheetData>
  <autoFilter ref="A1:K15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4" customWidth="1"/>
    <col min="3" max="3" width="16" customWidth="1"/>
    <col min="4" max="4" width="18" customWidth="1"/>
    <col min="6" max="6" width="90" customWidth="1"/>
  </cols>
  <sheetData>
    <row r="1" spans="1:6" ht="26.4" x14ac:dyDescent="0.3">
      <c r="A1" s="18" t="s">
        <v>44</v>
      </c>
      <c r="B1" s="18" t="s">
        <v>389</v>
      </c>
      <c r="C1" s="18" t="s">
        <v>390</v>
      </c>
      <c r="D1" s="18" t="s">
        <v>391</v>
      </c>
      <c r="F1" s="17" t="s">
        <v>392</v>
      </c>
    </row>
    <row r="2" spans="1:6" x14ac:dyDescent="0.3">
      <c r="A2" s="19" t="s">
        <v>55</v>
      </c>
      <c r="B2" s="19">
        <v>90</v>
      </c>
      <c r="C2" s="19">
        <v>160.52000000000001</v>
      </c>
      <c r="D2" s="19">
        <v>89.01</v>
      </c>
    </row>
    <row r="3" spans="1:6" x14ac:dyDescent="0.3">
      <c r="A3" s="19" t="s">
        <v>60</v>
      </c>
      <c r="B3" s="19">
        <v>90</v>
      </c>
      <c r="C3" s="19">
        <v>66.48</v>
      </c>
      <c r="D3" s="19">
        <v>43.63</v>
      </c>
    </row>
    <row r="4" spans="1:6" x14ac:dyDescent="0.3">
      <c r="A4" s="19" t="s">
        <v>63</v>
      </c>
      <c r="B4" s="19">
        <v>90</v>
      </c>
      <c r="C4" s="19">
        <v>65.13</v>
      </c>
      <c r="D4" s="19">
        <v>35.96</v>
      </c>
    </row>
    <row r="5" spans="1:6" x14ac:dyDescent="0.3">
      <c r="A5" s="19" t="s">
        <v>67</v>
      </c>
      <c r="B5" s="19">
        <v>90</v>
      </c>
      <c r="C5" s="19">
        <v>168.08</v>
      </c>
      <c r="D5" s="19">
        <v>70.849999999999994</v>
      </c>
    </row>
    <row r="6" spans="1:6" x14ac:dyDescent="0.3">
      <c r="A6" s="19" t="s">
        <v>69</v>
      </c>
      <c r="B6" s="19">
        <v>90</v>
      </c>
      <c r="C6" s="19">
        <v>159.18</v>
      </c>
      <c r="D6" s="19">
        <v>70.14</v>
      </c>
    </row>
    <row r="7" spans="1:6" x14ac:dyDescent="0.3">
      <c r="A7" s="19" t="s">
        <v>73</v>
      </c>
      <c r="B7" s="19">
        <v>90</v>
      </c>
      <c r="C7" s="19">
        <v>122.23</v>
      </c>
      <c r="D7" s="19">
        <v>53.02</v>
      </c>
    </row>
    <row r="8" spans="1:6" x14ac:dyDescent="0.3">
      <c r="A8" s="19" t="s">
        <v>76</v>
      </c>
      <c r="B8" s="19">
        <v>90</v>
      </c>
      <c r="C8" s="19">
        <v>79.47</v>
      </c>
      <c r="D8" s="19">
        <v>36.25</v>
      </c>
    </row>
    <row r="9" spans="1:6" x14ac:dyDescent="0.3">
      <c r="A9" s="19" t="s">
        <v>78</v>
      </c>
      <c r="B9" s="19">
        <v>90</v>
      </c>
      <c r="C9" s="19">
        <v>124.42</v>
      </c>
      <c r="D9" s="19">
        <v>57.58</v>
      </c>
    </row>
    <row r="10" spans="1:6" x14ac:dyDescent="0.3">
      <c r="A10" s="19" t="s">
        <v>81</v>
      </c>
      <c r="B10" s="19">
        <v>90</v>
      </c>
      <c r="C10" s="19">
        <v>92.67</v>
      </c>
      <c r="D10" s="19">
        <v>37.99</v>
      </c>
    </row>
    <row r="11" spans="1:6" x14ac:dyDescent="0.3">
      <c r="A11" s="19" t="s">
        <v>83</v>
      </c>
      <c r="B11" s="19">
        <v>90</v>
      </c>
      <c r="C11" s="19">
        <v>79.209999999999994</v>
      </c>
      <c r="D11" s="19">
        <v>49.72</v>
      </c>
    </row>
    <row r="12" spans="1:6" x14ac:dyDescent="0.3">
      <c r="A12" s="19" t="s">
        <v>85</v>
      </c>
      <c r="B12" s="19">
        <v>90</v>
      </c>
      <c r="C12" s="19">
        <v>156.09</v>
      </c>
      <c r="D12" s="19">
        <v>77.98</v>
      </c>
    </row>
    <row r="13" spans="1:6" x14ac:dyDescent="0.3">
      <c r="A13" s="19" t="s">
        <v>88</v>
      </c>
      <c r="B13" s="19">
        <v>90</v>
      </c>
      <c r="C13" s="19">
        <v>84.52</v>
      </c>
      <c r="D13" s="19">
        <v>35.32</v>
      </c>
    </row>
    <row r="14" spans="1:6" x14ac:dyDescent="0.3">
      <c r="A14" s="19" t="s">
        <v>90</v>
      </c>
      <c r="B14" s="19">
        <v>90</v>
      </c>
      <c r="C14" s="19">
        <v>315.17</v>
      </c>
      <c r="D14" s="19">
        <v>139.33000000000001</v>
      </c>
    </row>
    <row r="15" spans="1:6" x14ac:dyDescent="0.3">
      <c r="A15" s="19" t="s">
        <v>92</v>
      </c>
      <c r="B15" s="19">
        <v>90</v>
      </c>
      <c r="C15" s="19">
        <v>103.76</v>
      </c>
      <c r="D15" s="19">
        <v>46.36</v>
      </c>
    </row>
    <row r="16" spans="1:6" x14ac:dyDescent="0.3">
      <c r="A16" s="19" t="s">
        <v>95</v>
      </c>
      <c r="B16" s="19">
        <v>90</v>
      </c>
      <c r="C16" s="19">
        <v>63.64</v>
      </c>
      <c r="D16" s="19">
        <v>31.45</v>
      </c>
    </row>
    <row r="17" spans="1:4" x14ac:dyDescent="0.3">
      <c r="A17" s="19" t="s">
        <v>99</v>
      </c>
      <c r="B17" s="19">
        <v>90</v>
      </c>
      <c r="C17" s="19">
        <v>82.18</v>
      </c>
      <c r="D17" s="19">
        <v>37.31</v>
      </c>
    </row>
    <row r="18" spans="1:4" x14ac:dyDescent="0.3">
      <c r="A18" s="19" t="s">
        <v>102</v>
      </c>
      <c r="B18" s="19">
        <v>90</v>
      </c>
      <c r="C18" s="19">
        <v>57.38</v>
      </c>
      <c r="D18" s="19">
        <v>30.55</v>
      </c>
    </row>
    <row r="19" spans="1:4" x14ac:dyDescent="0.3">
      <c r="A19" s="19" t="s">
        <v>104</v>
      </c>
      <c r="B19" s="19">
        <v>90</v>
      </c>
      <c r="C19" s="19">
        <v>102.68</v>
      </c>
      <c r="D19" s="19">
        <v>49.72</v>
      </c>
    </row>
    <row r="20" spans="1:4" x14ac:dyDescent="0.3">
      <c r="A20" s="19" t="s">
        <v>107</v>
      </c>
      <c r="B20" s="19">
        <v>90</v>
      </c>
      <c r="C20" s="19">
        <v>91.38</v>
      </c>
      <c r="D20" s="19">
        <v>40.090000000000003</v>
      </c>
    </row>
    <row r="21" spans="1:4" x14ac:dyDescent="0.3">
      <c r="A21" s="19" t="s">
        <v>109</v>
      </c>
      <c r="B21" s="19">
        <v>90</v>
      </c>
      <c r="C21" s="19">
        <v>96.46</v>
      </c>
      <c r="D21" s="19">
        <v>53.01</v>
      </c>
    </row>
    <row r="22" spans="1:4" x14ac:dyDescent="0.3">
      <c r="A22" s="19" t="s">
        <v>111</v>
      </c>
      <c r="B22" s="19">
        <v>90</v>
      </c>
      <c r="C22" s="19">
        <v>56.43</v>
      </c>
      <c r="D22" s="19">
        <v>26.66</v>
      </c>
    </row>
    <row r="23" spans="1:4" x14ac:dyDescent="0.3">
      <c r="A23" s="19" t="s">
        <v>113</v>
      </c>
      <c r="B23" s="19">
        <v>90</v>
      </c>
      <c r="C23" s="19">
        <v>80.989999999999995</v>
      </c>
      <c r="D23" s="19">
        <v>38.97</v>
      </c>
    </row>
    <row r="24" spans="1:4" x14ac:dyDescent="0.3">
      <c r="A24" s="19" t="s">
        <v>115</v>
      </c>
      <c r="B24" s="19">
        <v>90</v>
      </c>
      <c r="C24" s="19">
        <v>151.04</v>
      </c>
      <c r="D24" s="19">
        <v>88.25</v>
      </c>
    </row>
    <row r="25" spans="1:4" x14ac:dyDescent="0.3">
      <c r="A25" s="19" t="s">
        <v>117</v>
      </c>
      <c r="B25" s="19">
        <v>90</v>
      </c>
      <c r="C25" s="19">
        <v>55.81</v>
      </c>
      <c r="D25" s="19">
        <v>23.5</v>
      </c>
    </row>
    <row r="26" spans="1:4" x14ac:dyDescent="0.3">
      <c r="A26" s="19" t="s">
        <v>120</v>
      </c>
      <c r="B26" s="19">
        <v>90</v>
      </c>
      <c r="C26" s="19">
        <v>47.27</v>
      </c>
      <c r="D26" s="19">
        <v>20.04</v>
      </c>
    </row>
    <row r="27" spans="1:4" x14ac:dyDescent="0.3">
      <c r="A27" s="19" t="s">
        <v>123</v>
      </c>
      <c r="B27" s="19">
        <v>90</v>
      </c>
      <c r="C27" s="19">
        <v>103.92</v>
      </c>
      <c r="D27" s="19">
        <v>54.32</v>
      </c>
    </row>
    <row r="28" spans="1:4" x14ac:dyDescent="0.3">
      <c r="A28" s="19" t="s">
        <v>126</v>
      </c>
      <c r="B28" s="19">
        <v>90</v>
      </c>
      <c r="C28" s="19">
        <v>65.61</v>
      </c>
      <c r="D28" s="19">
        <v>31.13</v>
      </c>
    </row>
    <row r="29" spans="1:4" x14ac:dyDescent="0.3">
      <c r="A29" s="19" t="s">
        <v>128</v>
      </c>
      <c r="B29" s="19">
        <v>90</v>
      </c>
      <c r="C29" s="19">
        <v>73.7</v>
      </c>
      <c r="D29" s="19">
        <v>28.09</v>
      </c>
    </row>
    <row r="30" spans="1:4" x14ac:dyDescent="0.3">
      <c r="A30" s="19" t="s">
        <v>130</v>
      </c>
      <c r="B30" s="19">
        <v>90</v>
      </c>
      <c r="C30" s="19">
        <v>96.63</v>
      </c>
      <c r="D30" s="19">
        <v>46.43</v>
      </c>
    </row>
    <row r="31" spans="1:4" x14ac:dyDescent="0.3">
      <c r="A31" s="19" t="s">
        <v>133</v>
      </c>
      <c r="B31" s="19">
        <v>90</v>
      </c>
      <c r="C31" s="19">
        <v>75.28</v>
      </c>
      <c r="D31" s="19">
        <v>29.45</v>
      </c>
    </row>
    <row r="32" spans="1:4" x14ac:dyDescent="0.3">
      <c r="A32" s="19" t="s">
        <v>135</v>
      </c>
      <c r="B32" s="19">
        <v>90</v>
      </c>
      <c r="C32" s="19">
        <v>64.58</v>
      </c>
      <c r="D32" s="19">
        <v>25.08</v>
      </c>
    </row>
    <row r="33" spans="1:4" x14ac:dyDescent="0.3">
      <c r="A33" s="19" t="s">
        <v>138</v>
      </c>
      <c r="B33" s="19">
        <v>90</v>
      </c>
      <c r="C33" s="19">
        <v>63.97</v>
      </c>
      <c r="D33" s="19">
        <v>41.03</v>
      </c>
    </row>
    <row r="34" spans="1:4" x14ac:dyDescent="0.3">
      <c r="A34" s="19" t="s">
        <v>140</v>
      </c>
      <c r="B34" s="19">
        <v>90</v>
      </c>
      <c r="C34" s="19">
        <v>65.930000000000007</v>
      </c>
      <c r="D34" s="19">
        <v>29.97</v>
      </c>
    </row>
    <row r="35" spans="1:4" x14ac:dyDescent="0.3">
      <c r="A35" s="19" t="s">
        <v>142</v>
      </c>
      <c r="B35" s="19">
        <v>90</v>
      </c>
      <c r="C35" s="19">
        <v>48.51</v>
      </c>
      <c r="D35" s="19">
        <v>35.58</v>
      </c>
    </row>
    <row r="36" spans="1:4" x14ac:dyDescent="0.3">
      <c r="A36" s="19" t="s">
        <v>144</v>
      </c>
      <c r="B36" s="19">
        <v>90</v>
      </c>
      <c r="C36" s="19">
        <v>98.59</v>
      </c>
      <c r="D36" s="19">
        <v>52.09</v>
      </c>
    </row>
    <row r="37" spans="1:4" x14ac:dyDescent="0.3">
      <c r="A37" s="19" t="s">
        <v>147</v>
      </c>
      <c r="B37" s="19">
        <v>90</v>
      </c>
      <c r="C37" s="19">
        <v>77.84</v>
      </c>
      <c r="D37" s="19">
        <v>40.479999999999997</v>
      </c>
    </row>
    <row r="38" spans="1:4" x14ac:dyDescent="0.3">
      <c r="A38" s="19" t="s">
        <v>150</v>
      </c>
      <c r="B38" s="19">
        <v>90</v>
      </c>
      <c r="C38" s="19">
        <v>45.53</v>
      </c>
      <c r="D38" s="19">
        <v>23.98</v>
      </c>
    </row>
    <row r="39" spans="1:4" x14ac:dyDescent="0.3">
      <c r="A39" s="19" t="s">
        <v>152</v>
      </c>
      <c r="B39" s="19">
        <v>90</v>
      </c>
      <c r="C39" s="19">
        <v>52.31</v>
      </c>
      <c r="D39" s="19">
        <v>23.98</v>
      </c>
    </row>
    <row r="40" spans="1:4" x14ac:dyDescent="0.3">
      <c r="A40" s="19" t="s">
        <v>154</v>
      </c>
      <c r="B40" s="19">
        <v>90</v>
      </c>
      <c r="C40" s="19">
        <v>115.28</v>
      </c>
      <c r="D40" s="19">
        <v>51.65</v>
      </c>
    </row>
    <row r="41" spans="1:4" x14ac:dyDescent="0.3">
      <c r="A41" s="19" t="s">
        <v>156</v>
      </c>
      <c r="B41" s="19">
        <v>90</v>
      </c>
      <c r="C41" s="19">
        <v>126.27</v>
      </c>
      <c r="D41" s="19">
        <v>45.3</v>
      </c>
    </row>
    <row r="42" spans="1:4" x14ac:dyDescent="0.3">
      <c r="A42" s="19" t="s">
        <v>159</v>
      </c>
      <c r="B42" s="19">
        <v>90</v>
      </c>
      <c r="C42" s="19">
        <v>43.2</v>
      </c>
      <c r="D42" s="19">
        <v>17.190000000000001</v>
      </c>
    </row>
    <row r="43" spans="1:4" x14ac:dyDescent="0.3">
      <c r="A43" s="19" t="s">
        <v>161</v>
      </c>
      <c r="B43" s="19">
        <v>90</v>
      </c>
      <c r="C43" s="19">
        <v>87.01</v>
      </c>
      <c r="D43" s="19">
        <v>47.05</v>
      </c>
    </row>
    <row r="44" spans="1:4" x14ac:dyDescent="0.3">
      <c r="A44" s="19" t="s">
        <v>163</v>
      </c>
      <c r="B44" s="19">
        <v>90</v>
      </c>
      <c r="C44" s="19">
        <v>78.48</v>
      </c>
      <c r="D44" s="19">
        <v>39.35</v>
      </c>
    </row>
    <row r="45" spans="1:4" x14ac:dyDescent="0.3">
      <c r="A45" s="19" t="s">
        <v>165</v>
      </c>
      <c r="B45" s="19">
        <v>90</v>
      </c>
      <c r="C45" s="19">
        <v>53.3</v>
      </c>
      <c r="D45" s="19">
        <v>23.66</v>
      </c>
    </row>
    <row r="46" spans="1:4" x14ac:dyDescent="0.3">
      <c r="A46" s="19" t="s">
        <v>167</v>
      </c>
      <c r="B46" s="19">
        <v>90</v>
      </c>
      <c r="C46" s="19">
        <v>50.1</v>
      </c>
      <c r="D46" s="19">
        <v>22.66</v>
      </c>
    </row>
    <row r="47" spans="1:4" x14ac:dyDescent="0.3">
      <c r="A47" s="19" t="s">
        <v>169</v>
      </c>
      <c r="B47" s="19">
        <v>90</v>
      </c>
      <c r="C47" s="19">
        <v>84.01</v>
      </c>
      <c r="D47" s="19">
        <v>46.93</v>
      </c>
    </row>
    <row r="48" spans="1:4" x14ac:dyDescent="0.3">
      <c r="A48" s="19" t="s">
        <v>171</v>
      </c>
      <c r="B48" s="19">
        <v>90</v>
      </c>
      <c r="C48" s="19">
        <v>104.16</v>
      </c>
      <c r="D48" s="19">
        <v>48.91</v>
      </c>
    </row>
    <row r="49" spans="1:4" x14ac:dyDescent="0.3">
      <c r="A49" s="19" t="s">
        <v>173</v>
      </c>
      <c r="B49" s="19">
        <v>90</v>
      </c>
      <c r="C49" s="19">
        <v>86.61</v>
      </c>
      <c r="D49" s="19">
        <v>44.7</v>
      </c>
    </row>
    <row r="50" spans="1:4" x14ac:dyDescent="0.3">
      <c r="A50" s="19" t="s">
        <v>175</v>
      </c>
      <c r="B50" s="19">
        <v>90</v>
      </c>
      <c r="C50" s="19">
        <v>114</v>
      </c>
      <c r="D50" s="19">
        <v>59.39</v>
      </c>
    </row>
    <row r="51" spans="1:4" x14ac:dyDescent="0.3">
      <c r="A51" s="19" t="s">
        <v>177</v>
      </c>
      <c r="B51" s="19">
        <v>90</v>
      </c>
      <c r="C51" s="19">
        <v>149.71</v>
      </c>
      <c r="D51" s="19">
        <v>96.15</v>
      </c>
    </row>
    <row r="52" spans="1:4" x14ac:dyDescent="0.3">
      <c r="A52" s="19" t="s">
        <v>179</v>
      </c>
      <c r="B52" s="19">
        <v>90</v>
      </c>
      <c r="C52" s="19">
        <v>69.56</v>
      </c>
      <c r="D52" s="19">
        <v>38.17</v>
      </c>
    </row>
    <row r="53" spans="1:4" x14ac:dyDescent="0.3">
      <c r="A53" s="19" t="s">
        <v>181</v>
      </c>
      <c r="B53" s="19">
        <v>90</v>
      </c>
      <c r="C53" s="19">
        <v>64.17</v>
      </c>
      <c r="D53" s="19">
        <v>31.4</v>
      </c>
    </row>
    <row r="54" spans="1:4" x14ac:dyDescent="0.3">
      <c r="A54" s="19" t="s">
        <v>183</v>
      </c>
      <c r="B54" s="19">
        <v>90</v>
      </c>
      <c r="C54" s="19">
        <v>122.46</v>
      </c>
      <c r="D54" s="19">
        <v>49.3</v>
      </c>
    </row>
    <row r="55" spans="1:4" x14ac:dyDescent="0.3">
      <c r="A55" s="19" t="s">
        <v>185</v>
      </c>
      <c r="B55" s="19">
        <v>90</v>
      </c>
      <c r="C55" s="19">
        <v>47.48</v>
      </c>
      <c r="D55" s="19">
        <v>20.38</v>
      </c>
    </row>
    <row r="56" spans="1:4" x14ac:dyDescent="0.3">
      <c r="A56" s="19" t="s">
        <v>187</v>
      </c>
      <c r="B56" s="19">
        <v>90</v>
      </c>
      <c r="C56" s="19">
        <v>37.369999999999997</v>
      </c>
      <c r="D56" s="19">
        <v>17.850000000000001</v>
      </c>
    </row>
    <row r="57" spans="1:4" x14ac:dyDescent="0.3">
      <c r="A57" s="19" t="s">
        <v>189</v>
      </c>
      <c r="B57" s="19">
        <v>90</v>
      </c>
      <c r="C57" s="19">
        <v>64.58</v>
      </c>
      <c r="D57" s="19">
        <v>29.45</v>
      </c>
    </row>
    <row r="58" spans="1:4" x14ac:dyDescent="0.3">
      <c r="A58" s="19" t="s">
        <v>191</v>
      </c>
      <c r="B58" s="19">
        <v>90</v>
      </c>
      <c r="C58" s="19">
        <v>42.62</v>
      </c>
      <c r="D58" s="19">
        <v>19.97</v>
      </c>
    </row>
    <row r="59" spans="1:4" x14ac:dyDescent="0.3">
      <c r="A59" s="19" t="s">
        <v>193</v>
      </c>
      <c r="B59" s="19">
        <v>90</v>
      </c>
      <c r="C59" s="19">
        <v>115.83</v>
      </c>
      <c r="D59" s="19">
        <v>64.69</v>
      </c>
    </row>
    <row r="60" spans="1:4" x14ac:dyDescent="0.3">
      <c r="A60" s="19" t="s">
        <v>195</v>
      </c>
      <c r="B60" s="19">
        <v>90</v>
      </c>
      <c r="C60" s="19">
        <v>42.26</v>
      </c>
      <c r="D60" s="19">
        <v>23.64</v>
      </c>
    </row>
    <row r="61" spans="1:4" x14ac:dyDescent="0.3">
      <c r="A61" s="19" t="s">
        <v>198</v>
      </c>
      <c r="B61" s="19">
        <v>90</v>
      </c>
      <c r="C61" s="19">
        <v>98.13</v>
      </c>
      <c r="D61" s="19">
        <v>40.590000000000003</v>
      </c>
    </row>
    <row r="62" spans="1:4" x14ac:dyDescent="0.3">
      <c r="A62" s="19" t="s">
        <v>200</v>
      </c>
      <c r="B62" s="19">
        <v>90</v>
      </c>
      <c r="C62" s="19">
        <v>26.84</v>
      </c>
      <c r="D62" s="19">
        <v>16.57</v>
      </c>
    </row>
    <row r="63" spans="1:4" x14ac:dyDescent="0.3">
      <c r="A63" s="19" t="s">
        <v>204</v>
      </c>
      <c r="B63" s="19">
        <v>90</v>
      </c>
      <c r="C63" s="19">
        <v>14.83</v>
      </c>
      <c r="D63" s="19">
        <v>8.6199999999999992</v>
      </c>
    </row>
    <row r="64" spans="1:4" x14ac:dyDescent="0.3">
      <c r="A64" s="19" t="s">
        <v>206</v>
      </c>
      <c r="B64" s="19">
        <v>90</v>
      </c>
      <c r="C64" s="19">
        <v>32</v>
      </c>
      <c r="D64" s="19">
        <v>15.4</v>
      </c>
    </row>
    <row r="65" spans="1:4" x14ac:dyDescent="0.3">
      <c r="A65" s="19" t="s">
        <v>208</v>
      </c>
      <c r="B65" s="19">
        <v>90</v>
      </c>
      <c r="C65" s="19">
        <v>37.39</v>
      </c>
      <c r="D65" s="19">
        <v>18.579999999999998</v>
      </c>
    </row>
    <row r="66" spans="1:4" x14ac:dyDescent="0.3">
      <c r="A66" s="19" t="s">
        <v>211</v>
      </c>
      <c r="B66" s="19">
        <v>90</v>
      </c>
      <c r="C66" s="19">
        <v>14.88</v>
      </c>
      <c r="D66" s="19">
        <v>7.98</v>
      </c>
    </row>
    <row r="67" spans="1:4" x14ac:dyDescent="0.3">
      <c r="A67" s="19" t="s">
        <v>214</v>
      </c>
      <c r="B67" s="19">
        <v>90</v>
      </c>
      <c r="C67" s="19">
        <v>30.98</v>
      </c>
      <c r="D67" s="19">
        <v>14.95</v>
      </c>
    </row>
    <row r="68" spans="1:4" x14ac:dyDescent="0.3">
      <c r="A68" s="19" t="s">
        <v>216</v>
      </c>
      <c r="B68" s="19">
        <v>90</v>
      </c>
      <c r="C68" s="19">
        <v>22.12</v>
      </c>
      <c r="D68" s="19">
        <v>11.05</v>
      </c>
    </row>
    <row r="69" spans="1:4" x14ac:dyDescent="0.3">
      <c r="A69" s="19" t="s">
        <v>218</v>
      </c>
      <c r="B69" s="19">
        <v>90</v>
      </c>
      <c r="C69" s="19">
        <v>14.03</v>
      </c>
      <c r="D69" s="19">
        <v>6.97</v>
      </c>
    </row>
    <row r="70" spans="1:4" x14ac:dyDescent="0.3">
      <c r="A70" s="19" t="s">
        <v>220</v>
      </c>
      <c r="B70" s="19">
        <v>90</v>
      </c>
      <c r="C70" s="19">
        <v>18.07</v>
      </c>
      <c r="D70" s="19">
        <v>9.92</v>
      </c>
    </row>
    <row r="71" spans="1:4" x14ac:dyDescent="0.3">
      <c r="A71" s="19" t="s">
        <v>222</v>
      </c>
      <c r="B71" s="19">
        <v>90</v>
      </c>
      <c r="C71" s="19">
        <v>39.369999999999997</v>
      </c>
      <c r="D71" s="19">
        <v>19.97</v>
      </c>
    </row>
    <row r="72" spans="1:4" x14ac:dyDescent="0.3">
      <c r="A72" s="19" t="s">
        <v>224</v>
      </c>
      <c r="B72" s="19">
        <v>90</v>
      </c>
      <c r="C72" s="19">
        <v>13.81</v>
      </c>
      <c r="D72" s="19">
        <v>7.26</v>
      </c>
    </row>
    <row r="73" spans="1:4" x14ac:dyDescent="0.3">
      <c r="A73" s="19" t="s">
        <v>226</v>
      </c>
      <c r="B73" s="19">
        <v>90</v>
      </c>
      <c r="C73" s="19">
        <v>11.54</v>
      </c>
      <c r="D73" s="19">
        <v>7.4</v>
      </c>
    </row>
    <row r="74" spans="1:4" x14ac:dyDescent="0.3">
      <c r="A74" s="19" t="s">
        <v>228</v>
      </c>
      <c r="B74" s="19">
        <v>90</v>
      </c>
      <c r="C74" s="19">
        <v>18.09</v>
      </c>
      <c r="D74" s="19">
        <v>9.42</v>
      </c>
    </row>
    <row r="75" spans="1:4" x14ac:dyDescent="0.3">
      <c r="A75" s="19" t="s">
        <v>230</v>
      </c>
      <c r="B75" s="19">
        <v>90</v>
      </c>
      <c r="C75" s="19">
        <v>25.86</v>
      </c>
      <c r="D75" s="19">
        <v>14.71</v>
      </c>
    </row>
    <row r="76" spans="1:4" x14ac:dyDescent="0.3">
      <c r="A76" s="19" t="s">
        <v>232</v>
      </c>
      <c r="B76" s="19">
        <v>90</v>
      </c>
      <c r="C76" s="19">
        <v>18.63</v>
      </c>
      <c r="D76" s="19">
        <v>9.2200000000000006</v>
      </c>
    </row>
    <row r="77" spans="1:4" x14ac:dyDescent="0.3">
      <c r="A77" s="19" t="s">
        <v>234</v>
      </c>
      <c r="B77" s="19">
        <v>90</v>
      </c>
      <c r="C77" s="19">
        <v>26.76</v>
      </c>
      <c r="D77" s="19">
        <v>17.75</v>
      </c>
    </row>
    <row r="78" spans="1:4" x14ac:dyDescent="0.3">
      <c r="A78" s="19" t="s">
        <v>236</v>
      </c>
      <c r="B78" s="19">
        <v>90</v>
      </c>
      <c r="C78" s="19">
        <v>14.8</v>
      </c>
      <c r="D78" s="19">
        <v>8</v>
      </c>
    </row>
    <row r="79" spans="1:4" x14ac:dyDescent="0.3">
      <c r="A79" s="19" t="s">
        <v>238</v>
      </c>
      <c r="B79" s="19">
        <v>90</v>
      </c>
      <c r="C79" s="19">
        <v>18.29</v>
      </c>
      <c r="D79" s="19">
        <v>12.94</v>
      </c>
    </row>
    <row r="80" spans="1:4" x14ac:dyDescent="0.3">
      <c r="A80" s="19" t="s">
        <v>240</v>
      </c>
      <c r="B80" s="19">
        <v>90</v>
      </c>
      <c r="C80" s="19">
        <v>33.04</v>
      </c>
      <c r="D80" s="19">
        <v>16.2</v>
      </c>
    </row>
    <row r="81" spans="1:4" x14ac:dyDescent="0.3">
      <c r="A81" s="19" t="s">
        <v>242</v>
      </c>
      <c r="B81" s="19">
        <v>90</v>
      </c>
      <c r="C81" s="19">
        <v>23.08</v>
      </c>
      <c r="D81" s="19">
        <v>13.99</v>
      </c>
    </row>
    <row r="82" spans="1:4" x14ac:dyDescent="0.3">
      <c r="A82" s="19" t="s">
        <v>244</v>
      </c>
      <c r="B82" s="19">
        <v>90</v>
      </c>
      <c r="C82" s="19">
        <v>14.56</v>
      </c>
      <c r="D82" s="19">
        <v>7.5</v>
      </c>
    </row>
    <row r="83" spans="1:4" x14ac:dyDescent="0.3">
      <c r="A83" s="19" t="s">
        <v>246</v>
      </c>
      <c r="B83" s="19">
        <v>90</v>
      </c>
      <c r="C83" s="19">
        <v>17.239999999999998</v>
      </c>
      <c r="D83" s="19">
        <v>8.42</v>
      </c>
    </row>
    <row r="84" spans="1:4" x14ac:dyDescent="0.3">
      <c r="A84" s="19" t="s">
        <v>248</v>
      </c>
      <c r="B84" s="19">
        <v>90</v>
      </c>
      <c r="C84" s="19">
        <v>17.03</v>
      </c>
      <c r="D84" s="19">
        <v>8.5</v>
      </c>
    </row>
    <row r="85" spans="1:4" x14ac:dyDescent="0.3">
      <c r="A85" s="19" t="s">
        <v>250</v>
      </c>
      <c r="B85" s="19">
        <v>90</v>
      </c>
      <c r="C85" s="19">
        <v>23.61</v>
      </c>
      <c r="D85" s="19">
        <v>14.92</v>
      </c>
    </row>
    <row r="86" spans="1:4" x14ac:dyDescent="0.3">
      <c r="A86" s="19" t="s">
        <v>252</v>
      </c>
      <c r="B86" s="19">
        <v>90</v>
      </c>
      <c r="C86" s="19">
        <v>13.19</v>
      </c>
      <c r="D86" s="19">
        <v>8.24</v>
      </c>
    </row>
    <row r="87" spans="1:4" x14ac:dyDescent="0.3">
      <c r="A87" s="19" t="s">
        <v>254</v>
      </c>
      <c r="B87" s="19">
        <v>90</v>
      </c>
      <c r="C87" s="19">
        <v>25.93</v>
      </c>
      <c r="D87" s="19">
        <v>14.27</v>
      </c>
    </row>
    <row r="88" spans="1:4" x14ac:dyDescent="0.3">
      <c r="A88" s="19" t="s">
        <v>256</v>
      </c>
      <c r="B88" s="19">
        <v>90</v>
      </c>
      <c r="C88" s="19">
        <v>11.5</v>
      </c>
      <c r="D88" s="19">
        <v>5.69</v>
      </c>
    </row>
    <row r="89" spans="1:4" x14ac:dyDescent="0.3">
      <c r="A89" s="19" t="s">
        <v>258</v>
      </c>
      <c r="B89" s="19">
        <v>90</v>
      </c>
      <c r="C89" s="19">
        <v>31.99</v>
      </c>
      <c r="D89" s="19">
        <v>13.99</v>
      </c>
    </row>
    <row r="90" spans="1:4" x14ac:dyDescent="0.3">
      <c r="A90" s="19" t="s">
        <v>260</v>
      </c>
      <c r="B90" s="19">
        <v>90</v>
      </c>
      <c r="C90" s="19">
        <v>17.920000000000002</v>
      </c>
      <c r="D90" s="19">
        <v>10.25</v>
      </c>
    </row>
    <row r="91" spans="1:4" x14ac:dyDescent="0.3">
      <c r="A91" s="19" t="s">
        <v>262</v>
      </c>
      <c r="B91" s="19">
        <v>90</v>
      </c>
      <c r="C91" s="19">
        <v>14.79</v>
      </c>
      <c r="D91" s="19">
        <v>8.94</v>
      </c>
    </row>
    <row r="92" spans="1:4" x14ac:dyDescent="0.3">
      <c r="A92" s="19" t="s">
        <v>264</v>
      </c>
      <c r="B92" s="19">
        <v>90</v>
      </c>
      <c r="C92" s="19">
        <v>145.91</v>
      </c>
      <c r="D92" s="19">
        <v>70.17</v>
      </c>
    </row>
    <row r="93" spans="1:4" x14ac:dyDescent="0.3">
      <c r="A93" s="19" t="s">
        <v>267</v>
      </c>
      <c r="B93" s="19">
        <v>90</v>
      </c>
      <c r="C93" s="19">
        <v>187.07</v>
      </c>
      <c r="D93" s="19">
        <v>109.61</v>
      </c>
    </row>
    <row r="94" spans="1:4" x14ac:dyDescent="0.3">
      <c r="A94" s="19" t="s">
        <v>269</v>
      </c>
      <c r="B94" s="19">
        <v>90</v>
      </c>
      <c r="C94" s="19">
        <v>67.22</v>
      </c>
      <c r="D94" s="19">
        <v>33.54</v>
      </c>
    </row>
    <row r="95" spans="1:4" x14ac:dyDescent="0.3">
      <c r="A95" s="19" t="s">
        <v>271</v>
      </c>
      <c r="B95" s="19">
        <v>90</v>
      </c>
      <c r="C95" s="19">
        <v>53.08</v>
      </c>
      <c r="D95" s="19">
        <v>29.11</v>
      </c>
    </row>
    <row r="96" spans="1:4" x14ac:dyDescent="0.3">
      <c r="A96" s="19" t="s">
        <v>273</v>
      </c>
      <c r="B96" s="19">
        <v>90</v>
      </c>
      <c r="C96" s="19">
        <v>96.26</v>
      </c>
      <c r="D96" s="19">
        <v>37.43</v>
      </c>
    </row>
    <row r="97" spans="1:4" x14ac:dyDescent="0.3">
      <c r="A97" s="19" t="s">
        <v>275</v>
      </c>
      <c r="B97" s="19">
        <v>90</v>
      </c>
      <c r="C97" s="19">
        <v>66.42</v>
      </c>
      <c r="D97" s="19">
        <v>33.06</v>
      </c>
    </row>
    <row r="98" spans="1:4" x14ac:dyDescent="0.3">
      <c r="A98" s="19" t="s">
        <v>277</v>
      </c>
      <c r="B98" s="19">
        <v>90</v>
      </c>
      <c r="C98" s="19">
        <v>88.06</v>
      </c>
      <c r="D98" s="19">
        <v>37.619999999999997</v>
      </c>
    </row>
    <row r="99" spans="1:4" x14ac:dyDescent="0.3">
      <c r="A99" s="19" t="s">
        <v>279</v>
      </c>
      <c r="B99" s="19">
        <v>90</v>
      </c>
      <c r="C99" s="19">
        <v>151.22</v>
      </c>
      <c r="D99" s="19">
        <v>69.66</v>
      </c>
    </row>
    <row r="100" spans="1:4" x14ac:dyDescent="0.3">
      <c r="A100" s="19" t="s">
        <v>281</v>
      </c>
      <c r="B100" s="19">
        <v>90</v>
      </c>
      <c r="C100" s="19">
        <v>104.71</v>
      </c>
      <c r="D100" s="19">
        <v>66.48</v>
      </c>
    </row>
    <row r="101" spans="1:4" x14ac:dyDescent="0.3">
      <c r="A101" s="19" t="s">
        <v>283</v>
      </c>
      <c r="B101" s="19">
        <v>90</v>
      </c>
      <c r="C101" s="19">
        <v>148.62</v>
      </c>
      <c r="D101" s="19">
        <v>81.510000000000005</v>
      </c>
    </row>
    <row r="102" spans="1:4" x14ac:dyDescent="0.3">
      <c r="A102" s="19" t="s">
        <v>285</v>
      </c>
      <c r="B102" s="19">
        <v>90</v>
      </c>
      <c r="C102" s="19">
        <v>80.63</v>
      </c>
      <c r="D102" s="19">
        <v>31.37</v>
      </c>
    </row>
    <row r="103" spans="1:4" x14ac:dyDescent="0.3">
      <c r="A103" s="19" t="s">
        <v>287</v>
      </c>
      <c r="B103" s="19">
        <v>90</v>
      </c>
      <c r="C103" s="19">
        <v>154.62</v>
      </c>
      <c r="D103" s="19">
        <v>52.66</v>
      </c>
    </row>
    <row r="104" spans="1:4" x14ac:dyDescent="0.3">
      <c r="A104" s="19" t="s">
        <v>289</v>
      </c>
      <c r="B104" s="19">
        <v>90</v>
      </c>
      <c r="C104" s="19">
        <v>59.49</v>
      </c>
      <c r="D104" s="19">
        <v>23.11</v>
      </c>
    </row>
    <row r="105" spans="1:4" x14ac:dyDescent="0.3">
      <c r="A105" s="19" t="s">
        <v>291</v>
      </c>
      <c r="B105" s="19">
        <v>90</v>
      </c>
      <c r="C105" s="19">
        <v>80.2</v>
      </c>
      <c r="D105" s="19">
        <v>34.25</v>
      </c>
    </row>
    <row r="106" spans="1:4" x14ac:dyDescent="0.3">
      <c r="A106" s="19" t="s">
        <v>293</v>
      </c>
      <c r="B106" s="19">
        <v>90</v>
      </c>
      <c r="C106" s="19">
        <v>34.61</v>
      </c>
      <c r="D106" s="19">
        <v>14.66</v>
      </c>
    </row>
    <row r="107" spans="1:4" x14ac:dyDescent="0.3">
      <c r="A107" s="19" t="s">
        <v>295</v>
      </c>
      <c r="B107" s="19">
        <v>90</v>
      </c>
      <c r="C107" s="19">
        <v>128.6</v>
      </c>
      <c r="D107" s="19">
        <v>49.07</v>
      </c>
    </row>
    <row r="108" spans="1:4" x14ac:dyDescent="0.3">
      <c r="A108" s="19" t="s">
        <v>298</v>
      </c>
      <c r="B108" s="19">
        <v>90</v>
      </c>
      <c r="C108" s="19">
        <v>127.04</v>
      </c>
      <c r="D108" s="19">
        <v>49.97</v>
      </c>
    </row>
    <row r="109" spans="1:4" x14ac:dyDescent="0.3">
      <c r="A109" s="19" t="s">
        <v>300</v>
      </c>
      <c r="B109" s="19">
        <v>90</v>
      </c>
      <c r="C109" s="19">
        <v>63.53</v>
      </c>
      <c r="D109" s="19">
        <v>25.79</v>
      </c>
    </row>
    <row r="110" spans="1:4" x14ac:dyDescent="0.3">
      <c r="A110" s="19" t="s">
        <v>302</v>
      </c>
      <c r="B110" s="19">
        <v>90</v>
      </c>
      <c r="C110" s="19">
        <v>109.31</v>
      </c>
      <c r="D110" s="19">
        <v>43.63</v>
      </c>
    </row>
    <row r="111" spans="1:4" x14ac:dyDescent="0.3">
      <c r="A111" s="19" t="s">
        <v>304</v>
      </c>
      <c r="B111" s="19">
        <v>90</v>
      </c>
      <c r="C111" s="19">
        <v>86.76</v>
      </c>
      <c r="D111" s="19">
        <v>33.43</v>
      </c>
    </row>
    <row r="112" spans="1:4" x14ac:dyDescent="0.3">
      <c r="A112" s="19" t="s">
        <v>306</v>
      </c>
      <c r="B112" s="19">
        <v>90</v>
      </c>
      <c r="C112" s="19">
        <v>54.59</v>
      </c>
      <c r="D112" s="19">
        <v>19.73</v>
      </c>
    </row>
    <row r="113" spans="1:4" x14ac:dyDescent="0.3">
      <c r="A113" s="19" t="s">
        <v>308</v>
      </c>
      <c r="B113" s="19">
        <v>90</v>
      </c>
      <c r="C113" s="19">
        <v>65</v>
      </c>
      <c r="D113" s="19">
        <v>34.76</v>
      </c>
    </row>
    <row r="114" spans="1:4" x14ac:dyDescent="0.3">
      <c r="A114" s="19" t="s">
        <v>310</v>
      </c>
      <c r="B114" s="19">
        <v>90</v>
      </c>
      <c r="C114" s="19">
        <v>80.77</v>
      </c>
      <c r="D114" s="19">
        <v>37.4</v>
      </c>
    </row>
    <row r="115" spans="1:4" x14ac:dyDescent="0.3">
      <c r="A115" s="19" t="s">
        <v>312</v>
      </c>
      <c r="B115" s="19">
        <v>90</v>
      </c>
      <c r="C115" s="19">
        <v>109.64</v>
      </c>
      <c r="D115" s="19">
        <v>41.09</v>
      </c>
    </row>
    <row r="116" spans="1:4" x14ac:dyDescent="0.3">
      <c r="A116" s="19" t="s">
        <v>314</v>
      </c>
      <c r="B116" s="19">
        <v>90</v>
      </c>
      <c r="C116" s="19">
        <v>79.86</v>
      </c>
      <c r="D116" s="19">
        <v>27.35</v>
      </c>
    </row>
    <row r="117" spans="1:4" x14ac:dyDescent="0.3">
      <c r="A117" s="19" t="s">
        <v>316</v>
      </c>
      <c r="B117" s="19">
        <v>90</v>
      </c>
      <c r="C117" s="19">
        <v>124.41</v>
      </c>
      <c r="D117" s="19">
        <v>58.91</v>
      </c>
    </row>
    <row r="118" spans="1:4" x14ac:dyDescent="0.3">
      <c r="A118" s="19" t="s">
        <v>318</v>
      </c>
      <c r="B118" s="19">
        <v>90</v>
      </c>
      <c r="C118" s="19">
        <v>71.510000000000005</v>
      </c>
      <c r="D118" s="19">
        <v>29.51</v>
      </c>
    </row>
    <row r="119" spans="1:4" x14ac:dyDescent="0.3">
      <c r="A119" s="19" t="s">
        <v>320</v>
      </c>
      <c r="B119" s="19">
        <v>90</v>
      </c>
      <c r="C119" s="19">
        <v>126.37</v>
      </c>
      <c r="D119" s="19">
        <v>47.24</v>
      </c>
    </row>
    <row r="120" spans="1:4" x14ac:dyDescent="0.3">
      <c r="A120" s="19" t="s">
        <v>322</v>
      </c>
      <c r="B120" s="19">
        <v>90</v>
      </c>
      <c r="C120" s="19">
        <v>55.9</v>
      </c>
      <c r="D120" s="19">
        <v>24.12</v>
      </c>
    </row>
    <row r="121" spans="1:4" x14ac:dyDescent="0.3">
      <c r="A121" s="19" t="s">
        <v>324</v>
      </c>
      <c r="B121" s="19">
        <v>90</v>
      </c>
      <c r="C121" s="19">
        <v>238.01</v>
      </c>
      <c r="D121" s="19">
        <v>82.04</v>
      </c>
    </row>
    <row r="122" spans="1:4" x14ac:dyDescent="0.3">
      <c r="A122" s="19" t="s">
        <v>327</v>
      </c>
      <c r="B122" s="19">
        <v>90</v>
      </c>
      <c r="C122" s="19">
        <v>19.61</v>
      </c>
      <c r="D122" s="19">
        <v>23.35</v>
      </c>
    </row>
    <row r="123" spans="1:4" x14ac:dyDescent="0.3">
      <c r="A123" s="19" t="s">
        <v>331</v>
      </c>
      <c r="B123" s="19">
        <v>90</v>
      </c>
      <c r="C123" s="19">
        <v>21.91</v>
      </c>
      <c r="D123" s="19">
        <v>24</v>
      </c>
    </row>
    <row r="124" spans="1:4" x14ac:dyDescent="0.3">
      <c r="A124" s="19" t="s">
        <v>333</v>
      </c>
      <c r="B124" s="19">
        <v>90</v>
      </c>
      <c r="C124" s="19">
        <v>62.11</v>
      </c>
      <c r="D124" s="19">
        <v>62.85</v>
      </c>
    </row>
    <row r="125" spans="1:4" x14ac:dyDescent="0.3">
      <c r="A125" s="19" t="s">
        <v>335</v>
      </c>
      <c r="B125" s="19">
        <v>90</v>
      </c>
      <c r="C125" s="19">
        <v>21.41</v>
      </c>
      <c r="D125" s="19">
        <v>26.95</v>
      </c>
    </row>
    <row r="126" spans="1:4" x14ac:dyDescent="0.3">
      <c r="A126" s="19" t="s">
        <v>337</v>
      </c>
      <c r="B126" s="19">
        <v>90</v>
      </c>
      <c r="C126" s="19">
        <v>15.5</v>
      </c>
      <c r="D126" s="19">
        <v>14.6</v>
      </c>
    </row>
    <row r="127" spans="1:4" x14ac:dyDescent="0.3">
      <c r="A127" s="19" t="s">
        <v>339</v>
      </c>
      <c r="B127" s="19">
        <v>90</v>
      </c>
      <c r="C127" s="19">
        <v>19.41</v>
      </c>
      <c r="D127" s="19">
        <v>21.93</v>
      </c>
    </row>
    <row r="128" spans="1:4" x14ac:dyDescent="0.3">
      <c r="A128" s="19" t="s">
        <v>341</v>
      </c>
      <c r="B128" s="19">
        <v>90</v>
      </c>
      <c r="C128" s="19">
        <v>20.72</v>
      </c>
      <c r="D128" s="19">
        <v>19.97</v>
      </c>
    </row>
    <row r="129" spans="1:4" x14ac:dyDescent="0.3">
      <c r="A129" s="19" t="s">
        <v>343</v>
      </c>
      <c r="B129" s="19">
        <v>90</v>
      </c>
      <c r="C129" s="19">
        <v>18.18</v>
      </c>
      <c r="D129" s="19">
        <v>19.510000000000002</v>
      </c>
    </row>
    <row r="130" spans="1:4" x14ac:dyDescent="0.3">
      <c r="A130" s="19" t="s">
        <v>345</v>
      </c>
      <c r="B130" s="19">
        <v>90</v>
      </c>
      <c r="C130" s="19">
        <v>19.54</v>
      </c>
      <c r="D130" s="19">
        <v>18.010000000000002</v>
      </c>
    </row>
    <row r="131" spans="1:4" x14ac:dyDescent="0.3">
      <c r="A131" s="19" t="s">
        <v>347</v>
      </c>
      <c r="B131" s="19">
        <v>90</v>
      </c>
      <c r="C131" s="19">
        <v>14.5</v>
      </c>
      <c r="D131" s="19">
        <v>16.25</v>
      </c>
    </row>
    <row r="132" spans="1:4" x14ac:dyDescent="0.3">
      <c r="A132" s="19" t="s">
        <v>349</v>
      </c>
      <c r="B132" s="19">
        <v>90</v>
      </c>
      <c r="C132" s="19">
        <v>45.54</v>
      </c>
      <c r="D132" s="19">
        <v>52.14</v>
      </c>
    </row>
    <row r="133" spans="1:4" x14ac:dyDescent="0.3">
      <c r="A133" s="19" t="s">
        <v>351</v>
      </c>
      <c r="B133" s="19">
        <v>90</v>
      </c>
      <c r="C133" s="19">
        <v>15.79</v>
      </c>
      <c r="D133" s="19">
        <v>15.14</v>
      </c>
    </row>
    <row r="134" spans="1:4" x14ac:dyDescent="0.3">
      <c r="A134" s="19" t="s">
        <v>353</v>
      </c>
      <c r="B134" s="19">
        <v>90</v>
      </c>
      <c r="C134" s="19">
        <v>29.9</v>
      </c>
      <c r="D134" s="19">
        <v>30.67</v>
      </c>
    </row>
    <row r="135" spans="1:4" x14ac:dyDescent="0.3">
      <c r="A135" s="19" t="s">
        <v>355</v>
      </c>
      <c r="B135" s="19">
        <v>90</v>
      </c>
      <c r="C135" s="19">
        <v>16.43</v>
      </c>
      <c r="D135" s="19">
        <v>17.77</v>
      </c>
    </row>
    <row r="136" spans="1:4" x14ac:dyDescent="0.3">
      <c r="A136" s="19" t="s">
        <v>357</v>
      </c>
      <c r="B136" s="19">
        <v>90</v>
      </c>
      <c r="C136" s="19">
        <v>23.46</v>
      </c>
      <c r="D136" s="19">
        <v>25.65</v>
      </c>
    </row>
    <row r="137" spans="1:4" x14ac:dyDescent="0.3">
      <c r="A137" s="19" t="s">
        <v>359</v>
      </c>
      <c r="B137" s="19">
        <v>90</v>
      </c>
      <c r="C137" s="19">
        <v>32.409999999999997</v>
      </c>
      <c r="D137" s="19">
        <v>29.39</v>
      </c>
    </row>
    <row r="138" spans="1:4" x14ac:dyDescent="0.3">
      <c r="A138" s="19" t="s">
        <v>361</v>
      </c>
      <c r="B138" s="19">
        <v>90</v>
      </c>
      <c r="C138" s="19">
        <v>25.19</v>
      </c>
      <c r="D138" s="19">
        <v>29.61</v>
      </c>
    </row>
    <row r="139" spans="1:4" x14ac:dyDescent="0.3">
      <c r="A139" s="19" t="s">
        <v>363</v>
      </c>
      <c r="B139" s="19">
        <v>90</v>
      </c>
      <c r="C139" s="19">
        <v>13.76</v>
      </c>
      <c r="D139" s="19">
        <v>12.44</v>
      </c>
    </row>
    <row r="140" spans="1:4" x14ac:dyDescent="0.3">
      <c r="A140" s="19" t="s">
        <v>365</v>
      </c>
      <c r="B140" s="19">
        <v>90</v>
      </c>
      <c r="C140" s="19">
        <v>26.81</v>
      </c>
      <c r="D140" s="19">
        <v>26.59</v>
      </c>
    </row>
    <row r="141" spans="1:4" x14ac:dyDescent="0.3">
      <c r="A141" s="19" t="s">
        <v>367</v>
      </c>
      <c r="B141" s="19">
        <v>90</v>
      </c>
      <c r="C141" s="19">
        <v>49.24</v>
      </c>
      <c r="D141" s="19">
        <v>51.49</v>
      </c>
    </row>
    <row r="142" spans="1:4" x14ac:dyDescent="0.3">
      <c r="A142" s="19" t="s">
        <v>369</v>
      </c>
      <c r="B142" s="19">
        <v>90</v>
      </c>
      <c r="C142" s="19">
        <v>20.260000000000002</v>
      </c>
      <c r="D142" s="19">
        <v>22.05</v>
      </c>
    </row>
    <row r="143" spans="1:4" x14ac:dyDescent="0.3">
      <c r="A143" s="19" t="s">
        <v>371</v>
      </c>
      <c r="B143" s="19">
        <v>90</v>
      </c>
      <c r="C143" s="19">
        <v>26.17</v>
      </c>
      <c r="D143" s="19">
        <v>28.53</v>
      </c>
    </row>
    <row r="144" spans="1:4" x14ac:dyDescent="0.3">
      <c r="A144" s="19" t="s">
        <v>373</v>
      </c>
      <c r="B144" s="19">
        <v>90</v>
      </c>
      <c r="C144" s="19">
        <v>14.28</v>
      </c>
      <c r="D144" s="19">
        <v>14.29</v>
      </c>
    </row>
    <row r="145" spans="1:4" x14ac:dyDescent="0.3">
      <c r="A145" s="19" t="s">
        <v>375</v>
      </c>
      <c r="B145" s="19">
        <v>90</v>
      </c>
      <c r="C145" s="19">
        <v>22.11</v>
      </c>
      <c r="D145" s="19">
        <v>23.1</v>
      </c>
    </row>
    <row r="146" spans="1:4" x14ac:dyDescent="0.3">
      <c r="A146" s="19" t="s">
        <v>377</v>
      </c>
      <c r="B146" s="19">
        <v>90</v>
      </c>
      <c r="C146" s="19">
        <v>32.520000000000003</v>
      </c>
      <c r="D146" s="19">
        <v>31.01</v>
      </c>
    </row>
    <row r="147" spans="1:4" x14ac:dyDescent="0.3">
      <c r="A147" s="19" t="s">
        <v>379</v>
      </c>
      <c r="B147" s="19">
        <v>90</v>
      </c>
      <c r="C147" s="19">
        <v>15.24</v>
      </c>
      <c r="D147" s="19">
        <v>16.09</v>
      </c>
    </row>
    <row r="148" spans="1:4" x14ac:dyDescent="0.3">
      <c r="A148" s="19" t="s">
        <v>381</v>
      </c>
      <c r="B148" s="19">
        <v>90</v>
      </c>
      <c r="C148" s="19">
        <v>40.880000000000003</v>
      </c>
      <c r="D148" s="19">
        <v>50.75</v>
      </c>
    </row>
    <row r="149" spans="1:4" x14ac:dyDescent="0.3">
      <c r="A149" s="19" t="s">
        <v>383</v>
      </c>
      <c r="B149" s="19">
        <v>90</v>
      </c>
      <c r="C149" s="19">
        <v>12.71</v>
      </c>
      <c r="D149" s="19">
        <v>14.98</v>
      </c>
    </row>
    <row r="150" spans="1:4" x14ac:dyDescent="0.3">
      <c r="A150" s="19" t="s">
        <v>385</v>
      </c>
      <c r="B150" s="19">
        <v>90</v>
      </c>
      <c r="C150" s="19">
        <v>37.74</v>
      </c>
      <c r="D150" s="19">
        <v>39.119999999999997</v>
      </c>
    </row>
    <row r="151" spans="1:4" x14ac:dyDescent="0.3">
      <c r="A151" s="19" t="s">
        <v>387</v>
      </c>
      <c r="B151" s="19">
        <v>90</v>
      </c>
      <c r="C151" s="19">
        <v>35.49</v>
      </c>
      <c r="D151" s="19">
        <v>41.08</v>
      </c>
    </row>
  </sheetData>
  <autoFilter ref="A1:D15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51"/>
  <sheetViews>
    <sheetView zoomScaleNormal="100" workbookViewId="0">
      <pane ySplit="1" topLeftCell="A68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20" customWidth="1"/>
    <col min="3" max="3" width="16" customWidth="1"/>
    <col min="4" max="4" width="18" customWidth="1"/>
    <col min="5" max="5" width="12" customWidth="1"/>
    <col min="6" max="6" width="18" customWidth="1"/>
    <col min="7" max="7" width="10" customWidth="1"/>
    <col min="9" max="9" width="10" customWidth="1"/>
    <col min="10" max="11" width="12" customWidth="1"/>
    <col min="12" max="12" width="14" customWidth="1"/>
  </cols>
  <sheetData>
    <row r="1" spans="1:12" ht="26.4" x14ac:dyDescent="0.3">
      <c r="A1" s="18" t="s">
        <v>44</v>
      </c>
      <c r="B1" s="18" t="s">
        <v>46</v>
      </c>
      <c r="C1" s="18" t="s">
        <v>393</v>
      </c>
      <c r="D1" s="18" t="s">
        <v>394</v>
      </c>
      <c r="E1" s="18" t="s">
        <v>395</v>
      </c>
      <c r="F1" s="18" t="s">
        <v>396</v>
      </c>
      <c r="G1" s="18" t="s">
        <v>397</v>
      </c>
      <c r="I1" s="16" t="s">
        <v>398</v>
      </c>
    </row>
    <row r="2" spans="1:12" x14ac:dyDescent="0.3">
      <c r="A2" s="19" t="s">
        <v>55</v>
      </c>
      <c r="B2" s="19" t="s">
        <v>57</v>
      </c>
      <c r="C2" s="19">
        <v>46018</v>
      </c>
      <c r="D2" s="21">
        <v>3068020.06</v>
      </c>
      <c r="E2" s="14">
        <f t="shared" ref="E2:E33" si="0">RANK(D2,$D$2:$D$151)</f>
        <v>31</v>
      </c>
      <c r="F2" s="22">
        <f t="shared" ref="F2:F33" si="1">SUMPRODUCT(($E$2:$E$151&lt;=E2)*$D$2:$D$151)/SUM($D$2:$D$151)</f>
        <v>0.44160694506113518</v>
      </c>
      <c r="G2" s="14" t="str">
        <f t="shared" ref="G2:G33" si="2">IF(F2&lt;=0.8,"A",IF(F2&lt;=0.95,"B","C"))</f>
        <v>A</v>
      </c>
      <c r="I2" s="18" t="s">
        <v>399</v>
      </c>
      <c r="J2" s="18" t="s">
        <v>400</v>
      </c>
      <c r="K2" s="18" t="s">
        <v>401</v>
      </c>
      <c r="L2" s="18" t="s">
        <v>402</v>
      </c>
    </row>
    <row r="3" spans="1:12" x14ac:dyDescent="0.3">
      <c r="A3" s="19" t="s">
        <v>60</v>
      </c>
      <c r="B3" s="19" t="s">
        <v>57</v>
      </c>
      <c r="C3" s="19">
        <v>21522</v>
      </c>
      <c r="D3" s="21">
        <v>897036.96</v>
      </c>
      <c r="E3" s="14">
        <f t="shared" si="0"/>
        <v>118</v>
      </c>
      <c r="F3" s="22">
        <f t="shared" si="1"/>
        <v>0.93869433604084596</v>
      </c>
      <c r="G3" s="14" t="str">
        <f t="shared" si="2"/>
        <v>B</v>
      </c>
      <c r="I3" s="14" t="s">
        <v>403</v>
      </c>
      <c r="J3" s="14">
        <f>COUNTIF($G$2:$G$151,I3)</f>
        <v>82</v>
      </c>
      <c r="K3" s="22">
        <f>J3/150</f>
        <v>0.54666666666666663</v>
      </c>
      <c r="L3" s="22">
        <f>SUMIF($G$2:$G$151,I3,$D$2:$D$151)/SUM($D$2:$D$151)</f>
        <v>0.79882463981185214</v>
      </c>
    </row>
    <row r="4" spans="1:12" x14ac:dyDescent="0.3">
      <c r="A4" s="19" t="s">
        <v>63</v>
      </c>
      <c r="B4" s="19" t="s">
        <v>57</v>
      </c>
      <c r="C4" s="19">
        <v>19731</v>
      </c>
      <c r="D4" s="21">
        <v>1449636.57</v>
      </c>
      <c r="E4" s="14">
        <f t="shared" si="0"/>
        <v>87</v>
      </c>
      <c r="F4" s="22">
        <f t="shared" si="1"/>
        <v>0.82305427432575196</v>
      </c>
      <c r="G4" s="14" t="str">
        <f t="shared" si="2"/>
        <v>B</v>
      </c>
      <c r="I4" s="14" t="s">
        <v>404</v>
      </c>
      <c r="J4" s="14">
        <f>COUNTIF($G$2:$G$151,I4)</f>
        <v>40</v>
      </c>
      <c r="K4" s="22">
        <f>J4/150</f>
        <v>0.26666666666666666</v>
      </c>
      <c r="L4" s="22">
        <f>SUMIF($G$2:$G$151,I4,$D$2:$D$151)/SUM($D$2:$D$151)</f>
        <v>0.15105534376210944</v>
      </c>
    </row>
    <row r="5" spans="1:12" x14ac:dyDescent="0.3">
      <c r="A5" s="19" t="s">
        <v>67</v>
      </c>
      <c r="B5" s="19" t="s">
        <v>57</v>
      </c>
      <c r="C5" s="19">
        <v>55072</v>
      </c>
      <c r="D5" s="21">
        <v>1283728.32</v>
      </c>
      <c r="E5" s="14">
        <f t="shared" si="0"/>
        <v>96</v>
      </c>
      <c r="F5" s="22">
        <f t="shared" si="1"/>
        <v>0.86285333929955887</v>
      </c>
      <c r="G5" s="14" t="str">
        <f t="shared" si="2"/>
        <v>B</v>
      </c>
      <c r="I5" s="14" t="s">
        <v>405</v>
      </c>
      <c r="J5" s="14">
        <f>COUNTIF($G$2:$G$151,I5)</f>
        <v>28</v>
      </c>
      <c r="K5" s="22">
        <f>J5/150</f>
        <v>0.18666666666666668</v>
      </c>
      <c r="L5" s="22">
        <f>SUMIF($G$2:$G$151,I5,$D$2:$D$151)/SUM($D$2:$D$151)</f>
        <v>5.0120016426038333E-2</v>
      </c>
    </row>
    <row r="6" spans="1:12" x14ac:dyDescent="0.3">
      <c r="A6" s="19" t="s">
        <v>69</v>
      </c>
      <c r="B6" s="19" t="s">
        <v>57</v>
      </c>
      <c r="C6" s="19">
        <v>50424</v>
      </c>
      <c r="D6" s="21">
        <v>2175795.6</v>
      </c>
      <c r="E6" s="14">
        <f t="shared" si="0"/>
        <v>53</v>
      </c>
      <c r="F6" s="22">
        <f t="shared" si="1"/>
        <v>0.62525599616340255</v>
      </c>
      <c r="G6" s="14" t="str">
        <f t="shared" si="2"/>
        <v>A</v>
      </c>
    </row>
    <row r="7" spans="1:12" x14ac:dyDescent="0.3">
      <c r="A7" s="19" t="s">
        <v>73</v>
      </c>
      <c r="B7" s="19" t="s">
        <v>57</v>
      </c>
      <c r="C7" s="19">
        <v>41109</v>
      </c>
      <c r="D7" s="21">
        <v>1374684.96</v>
      </c>
      <c r="E7" s="14">
        <f t="shared" si="0"/>
        <v>91</v>
      </c>
      <c r="F7" s="22">
        <f t="shared" si="1"/>
        <v>0.84114827738041964</v>
      </c>
      <c r="G7" s="14" t="str">
        <f t="shared" si="2"/>
        <v>B</v>
      </c>
    </row>
    <row r="8" spans="1:12" x14ac:dyDescent="0.3">
      <c r="A8" s="19" t="s">
        <v>76</v>
      </c>
      <c r="B8" s="19" t="s">
        <v>57</v>
      </c>
      <c r="C8" s="19">
        <v>30149</v>
      </c>
      <c r="D8" s="21">
        <v>1364543.74</v>
      </c>
      <c r="E8" s="14">
        <f t="shared" si="0"/>
        <v>93</v>
      </c>
      <c r="F8" s="22">
        <f t="shared" si="1"/>
        <v>0.85005301211244622</v>
      </c>
      <c r="G8" s="14" t="str">
        <f t="shared" si="2"/>
        <v>B</v>
      </c>
    </row>
    <row r="9" spans="1:12" x14ac:dyDescent="0.3">
      <c r="A9" s="19" t="s">
        <v>78</v>
      </c>
      <c r="B9" s="19" t="s">
        <v>57</v>
      </c>
      <c r="C9" s="19">
        <v>40043</v>
      </c>
      <c r="D9" s="21">
        <v>2088642.88</v>
      </c>
      <c r="E9" s="14">
        <f t="shared" si="0"/>
        <v>57</v>
      </c>
      <c r="F9" s="22">
        <f t="shared" si="1"/>
        <v>0.65288003367605885</v>
      </c>
      <c r="G9" s="14" t="str">
        <f t="shared" si="2"/>
        <v>A</v>
      </c>
    </row>
    <row r="10" spans="1:12" x14ac:dyDescent="0.3">
      <c r="A10" s="19" t="s">
        <v>81</v>
      </c>
      <c r="B10" s="19" t="s">
        <v>57</v>
      </c>
      <c r="C10" s="19">
        <v>32058</v>
      </c>
      <c r="D10" s="21">
        <v>471893.76000000001</v>
      </c>
      <c r="E10" s="14">
        <f t="shared" si="0"/>
        <v>137</v>
      </c>
      <c r="F10" s="22">
        <f t="shared" si="1"/>
        <v>0.98289565359993425</v>
      </c>
      <c r="G10" s="14" t="str">
        <f t="shared" si="2"/>
        <v>C</v>
      </c>
    </row>
    <row r="11" spans="1:12" x14ac:dyDescent="0.3">
      <c r="A11" s="19" t="s">
        <v>83</v>
      </c>
      <c r="B11" s="19" t="s">
        <v>57</v>
      </c>
      <c r="C11" s="19">
        <v>21870</v>
      </c>
      <c r="D11" s="21">
        <v>256316.4</v>
      </c>
      <c r="E11" s="14">
        <f t="shared" si="0"/>
        <v>150</v>
      </c>
      <c r="F11" s="22">
        <f t="shared" si="1"/>
        <v>1</v>
      </c>
      <c r="G11" s="14" t="str">
        <f t="shared" si="2"/>
        <v>C</v>
      </c>
    </row>
    <row r="12" spans="1:12" x14ac:dyDescent="0.3">
      <c r="A12" s="19" t="s">
        <v>85</v>
      </c>
      <c r="B12" s="19" t="s">
        <v>57</v>
      </c>
      <c r="C12" s="19">
        <v>48724</v>
      </c>
      <c r="D12" s="21">
        <v>1816430.72</v>
      </c>
      <c r="E12" s="14">
        <f t="shared" si="0"/>
        <v>69</v>
      </c>
      <c r="F12" s="22">
        <f t="shared" si="1"/>
        <v>0.72837901269508343</v>
      </c>
      <c r="G12" s="14" t="str">
        <f t="shared" si="2"/>
        <v>A</v>
      </c>
    </row>
    <row r="13" spans="1:12" x14ac:dyDescent="0.3">
      <c r="A13" s="19" t="s">
        <v>88</v>
      </c>
      <c r="B13" s="19" t="s">
        <v>57</v>
      </c>
      <c r="C13" s="19">
        <v>27550</v>
      </c>
      <c r="D13" s="21">
        <v>1625725.5</v>
      </c>
      <c r="E13" s="14">
        <f t="shared" si="0"/>
        <v>77</v>
      </c>
      <c r="F13" s="22">
        <f t="shared" si="1"/>
        <v>0.77334963284551161</v>
      </c>
      <c r="G13" s="14" t="str">
        <f t="shared" si="2"/>
        <v>A</v>
      </c>
    </row>
    <row r="14" spans="1:12" x14ac:dyDescent="0.3">
      <c r="A14" s="19" t="s">
        <v>90</v>
      </c>
      <c r="B14" s="19" t="s">
        <v>57</v>
      </c>
      <c r="C14" s="19">
        <v>101667</v>
      </c>
      <c r="D14" s="21">
        <v>4224263.8499999996</v>
      </c>
      <c r="E14" s="14">
        <f t="shared" si="0"/>
        <v>16</v>
      </c>
      <c r="F14" s="22">
        <f t="shared" si="1"/>
        <v>0.27101868603801993</v>
      </c>
      <c r="G14" s="14" t="str">
        <f t="shared" si="2"/>
        <v>A</v>
      </c>
    </row>
    <row r="15" spans="1:12" x14ac:dyDescent="0.3">
      <c r="A15" s="19" t="s">
        <v>92</v>
      </c>
      <c r="B15" s="19" t="s">
        <v>57</v>
      </c>
      <c r="C15" s="19">
        <v>34319</v>
      </c>
      <c r="D15" s="21">
        <v>1902645.36</v>
      </c>
      <c r="E15" s="14">
        <f t="shared" si="0"/>
        <v>65</v>
      </c>
      <c r="F15" s="22">
        <f t="shared" si="1"/>
        <v>0.7042680719629949</v>
      </c>
      <c r="G15" s="14" t="str">
        <f t="shared" si="2"/>
        <v>A</v>
      </c>
    </row>
    <row r="16" spans="1:12" x14ac:dyDescent="0.3">
      <c r="A16" s="19" t="s">
        <v>95</v>
      </c>
      <c r="B16" s="19" t="s">
        <v>57</v>
      </c>
      <c r="C16" s="19">
        <v>19488</v>
      </c>
      <c r="D16" s="21">
        <v>387421.44</v>
      </c>
      <c r="E16" s="14">
        <f t="shared" si="0"/>
        <v>148</v>
      </c>
      <c r="F16" s="22">
        <f t="shared" si="1"/>
        <v>0.99791447455365023</v>
      </c>
      <c r="G16" s="14" t="str">
        <f t="shared" si="2"/>
        <v>C</v>
      </c>
    </row>
    <row r="17" spans="1:7" x14ac:dyDescent="0.3">
      <c r="A17" s="19" t="s">
        <v>99</v>
      </c>
      <c r="B17" s="19" t="s">
        <v>57</v>
      </c>
      <c r="C17" s="19">
        <v>27508</v>
      </c>
      <c r="D17" s="21">
        <v>2219345.44</v>
      </c>
      <c r="E17" s="14">
        <f t="shared" si="0"/>
        <v>51</v>
      </c>
      <c r="F17" s="22">
        <f t="shared" si="1"/>
        <v>0.61107265736003458</v>
      </c>
      <c r="G17" s="14" t="str">
        <f t="shared" si="2"/>
        <v>A</v>
      </c>
    </row>
    <row r="18" spans="1:7" x14ac:dyDescent="0.3">
      <c r="A18" s="19" t="s">
        <v>102</v>
      </c>
      <c r="B18" s="19" t="s">
        <v>57</v>
      </c>
      <c r="C18" s="19">
        <v>17798</v>
      </c>
      <c r="D18" s="21">
        <v>525574.93999999994</v>
      </c>
      <c r="E18" s="14">
        <f t="shared" si="0"/>
        <v>135</v>
      </c>
      <c r="F18" s="22">
        <f t="shared" si="1"/>
        <v>0.97966861507632441</v>
      </c>
      <c r="G18" s="14" t="str">
        <f t="shared" si="2"/>
        <v>C</v>
      </c>
    </row>
    <row r="19" spans="1:7" x14ac:dyDescent="0.3">
      <c r="A19" s="19" t="s">
        <v>104</v>
      </c>
      <c r="B19" s="19" t="s">
        <v>57</v>
      </c>
      <c r="C19" s="19">
        <v>33095</v>
      </c>
      <c r="D19" s="21">
        <v>1897005.4</v>
      </c>
      <c r="E19" s="14">
        <f t="shared" si="0"/>
        <v>66</v>
      </c>
      <c r="F19" s="22">
        <f t="shared" si="1"/>
        <v>0.71044542889093121</v>
      </c>
      <c r="G19" s="14" t="str">
        <f t="shared" si="2"/>
        <v>A</v>
      </c>
    </row>
    <row r="20" spans="1:7" x14ac:dyDescent="0.3">
      <c r="A20" s="19" t="s">
        <v>107</v>
      </c>
      <c r="B20" s="19" t="s">
        <v>57</v>
      </c>
      <c r="C20" s="19">
        <v>30738</v>
      </c>
      <c r="D20" s="21">
        <v>774290.22</v>
      </c>
      <c r="E20" s="14">
        <f t="shared" si="0"/>
        <v>126</v>
      </c>
      <c r="F20" s="22">
        <f t="shared" si="1"/>
        <v>0.9602838089994552</v>
      </c>
      <c r="G20" s="14" t="str">
        <f t="shared" si="2"/>
        <v>C</v>
      </c>
    </row>
    <row r="21" spans="1:7" x14ac:dyDescent="0.3">
      <c r="A21" s="19" t="s">
        <v>109</v>
      </c>
      <c r="B21" s="19" t="s">
        <v>57</v>
      </c>
      <c r="C21" s="19">
        <v>29715</v>
      </c>
      <c r="D21" s="21">
        <v>969303.3</v>
      </c>
      <c r="E21" s="14">
        <f t="shared" si="0"/>
        <v>112</v>
      </c>
      <c r="F21" s="22">
        <f t="shared" si="1"/>
        <v>0.92069683377275469</v>
      </c>
      <c r="G21" s="14" t="str">
        <f t="shared" si="2"/>
        <v>B</v>
      </c>
    </row>
    <row r="22" spans="1:7" x14ac:dyDescent="0.3">
      <c r="A22" s="19" t="s">
        <v>111</v>
      </c>
      <c r="B22" s="19" t="s">
        <v>57</v>
      </c>
      <c r="C22" s="19">
        <v>19166</v>
      </c>
      <c r="D22" s="21">
        <v>1467157.3</v>
      </c>
      <c r="E22" s="14">
        <f t="shared" si="0"/>
        <v>86</v>
      </c>
      <c r="F22" s="22">
        <f t="shared" si="1"/>
        <v>0.81833371712086511</v>
      </c>
      <c r="G22" s="14" t="str">
        <f t="shared" si="2"/>
        <v>B</v>
      </c>
    </row>
    <row r="23" spans="1:7" x14ac:dyDescent="0.3">
      <c r="A23" s="19" t="s">
        <v>113</v>
      </c>
      <c r="B23" s="19" t="s">
        <v>57</v>
      </c>
      <c r="C23" s="19">
        <v>23502</v>
      </c>
      <c r="D23" s="21">
        <v>1762414.98</v>
      </c>
      <c r="E23" s="14">
        <f t="shared" si="0"/>
        <v>73</v>
      </c>
      <c r="F23" s="22">
        <f t="shared" si="1"/>
        <v>0.75151365063671016</v>
      </c>
      <c r="G23" s="14" t="str">
        <f t="shared" si="2"/>
        <v>A</v>
      </c>
    </row>
    <row r="24" spans="1:7" x14ac:dyDescent="0.3">
      <c r="A24" s="19" t="s">
        <v>115</v>
      </c>
      <c r="B24" s="19" t="s">
        <v>57</v>
      </c>
      <c r="C24" s="19">
        <v>42934</v>
      </c>
      <c r="D24" s="21">
        <v>1537037.2</v>
      </c>
      <c r="E24" s="14">
        <f t="shared" si="0"/>
        <v>81</v>
      </c>
      <c r="F24" s="22">
        <f t="shared" si="1"/>
        <v>0.79385318887864309</v>
      </c>
      <c r="G24" s="14" t="str">
        <f t="shared" si="2"/>
        <v>A</v>
      </c>
    </row>
    <row r="25" spans="1:7" x14ac:dyDescent="0.3">
      <c r="A25" s="19" t="s">
        <v>117</v>
      </c>
      <c r="B25" s="19" t="s">
        <v>57</v>
      </c>
      <c r="C25" s="19">
        <v>17224</v>
      </c>
      <c r="D25" s="21">
        <v>958171.12</v>
      </c>
      <c r="E25" s="14">
        <f t="shared" si="0"/>
        <v>113</v>
      </c>
      <c r="F25" s="22">
        <f t="shared" si="1"/>
        <v>0.92381699621735325</v>
      </c>
      <c r="G25" s="14" t="str">
        <f t="shared" si="2"/>
        <v>B</v>
      </c>
    </row>
    <row r="26" spans="1:7" x14ac:dyDescent="0.3">
      <c r="A26" s="19" t="s">
        <v>120</v>
      </c>
      <c r="B26" s="19" t="s">
        <v>57</v>
      </c>
      <c r="C26" s="19">
        <v>14542</v>
      </c>
      <c r="D26" s="21">
        <v>870484.12</v>
      </c>
      <c r="E26" s="14">
        <f t="shared" si="0"/>
        <v>120</v>
      </c>
      <c r="F26" s="22">
        <f t="shared" si="1"/>
        <v>0.94441498501233945</v>
      </c>
      <c r="G26" s="14" t="str">
        <f t="shared" si="2"/>
        <v>B</v>
      </c>
    </row>
    <row r="27" spans="1:7" x14ac:dyDescent="0.3">
      <c r="A27" s="19" t="s">
        <v>123</v>
      </c>
      <c r="B27" s="19" t="s">
        <v>57</v>
      </c>
      <c r="C27" s="19">
        <v>31931</v>
      </c>
      <c r="D27" s="21">
        <v>2460922.17</v>
      </c>
      <c r="E27" s="14">
        <f t="shared" si="0"/>
        <v>45</v>
      </c>
      <c r="F27" s="22">
        <f t="shared" si="1"/>
        <v>0.56552684798224595</v>
      </c>
      <c r="G27" s="14" t="str">
        <f t="shared" si="2"/>
        <v>A</v>
      </c>
    </row>
    <row r="28" spans="1:7" x14ac:dyDescent="0.3">
      <c r="A28" s="19" t="s">
        <v>126</v>
      </c>
      <c r="B28" s="19" t="s">
        <v>57</v>
      </c>
      <c r="C28" s="19">
        <v>22006</v>
      </c>
      <c r="D28" s="21">
        <v>463226.3</v>
      </c>
      <c r="E28" s="14">
        <f t="shared" si="0"/>
        <v>138</v>
      </c>
      <c r="F28" s="22">
        <f t="shared" si="1"/>
        <v>0.98440409115815486</v>
      </c>
      <c r="G28" s="14" t="str">
        <f t="shared" si="2"/>
        <v>C</v>
      </c>
    </row>
    <row r="29" spans="1:7" x14ac:dyDescent="0.3">
      <c r="A29" s="19" t="s">
        <v>128</v>
      </c>
      <c r="B29" s="19" t="s">
        <v>57</v>
      </c>
      <c r="C29" s="19">
        <v>21764</v>
      </c>
      <c r="D29" s="21">
        <v>1656893.32</v>
      </c>
      <c r="E29" s="14">
        <f t="shared" si="0"/>
        <v>76</v>
      </c>
      <c r="F29" s="22">
        <f t="shared" si="1"/>
        <v>0.76805566442541751</v>
      </c>
      <c r="G29" s="14" t="str">
        <f t="shared" si="2"/>
        <v>A</v>
      </c>
    </row>
    <row r="30" spans="1:7" x14ac:dyDescent="0.3">
      <c r="A30" s="19" t="s">
        <v>130</v>
      </c>
      <c r="B30" s="19" t="s">
        <v>57</v>
      </c>
      <c r="C30" s="19">
        <v>32598</v>
      </c>
      <c r="D30" s="21">
        <v>1420620.84</v>
      </c>
      <c r="E30" s="14">
        <f t="shared" si="0"/>
        <v>88</v>
      </c>
      <c r="F30" s="22">
        <f t="shared" si="1"/>
        <v>0.82768034549452407</v>
      </c>
      <c r="G30" s="14" t="str">
        <f t="shared" si="2"/>
        <v>B</v>
      </c>
    </row>
    <row r="31" spans="1:7" x14ac:dyDescent="0.3">
      <c r="A31" s="19" t="s">
        <v>133</v>
      </c>
      <c r="B31" s="19" t="s">
        <v>57</v>
      </c>
      <c r="C31" s="19">
        <v>24735</v>
      </c>
      <c r="D31" s="21">
        <v>423215.85</v>
      </c>
      <c r="E31" s="14">
        <f t="shared" si="0"/>
        <v>142</v>
      </c>
      <c r="F31" s="22">
        <f t="shared" si="1"/>
        <v>0.99004531494833414</v>
      </c>
      <c r="G31" s="14" t="str">
        <f t="shared" si="2"/>
        <v>C</v>
      </c>
    </row>
    <row r="32" spans="1:7" x14ac:dyDescent="0.3">
      <c r="A32" s="19" t="s">
        <v>135</v>
      </c>
      <c r="B32" s="19" t="s">
        <v>137</v>
      </c>
      <c r="C32" s="19">
        <v>19139</v>
      </c>
      <c r="D32" s="21">
        <v>2161558.66</v>
      </c>
      <c r="E32" s="14">
        <f t="shared" si="0"/>
        <v>54</v>
      </c>
      <c r="F32" s="22">
        <f t="shared" si="1"/>
        <v>0.63229483715114654</v>
      </c>
      <c r="G32" s="14" t="str">
        <f t="shared" si="2"/>
        <v>A</v>
      </c>
    </row>
    <row r="33" spans="1:7" x14ac:dyDescent="0.3">
      <c r="A33" s="19" t="s">
        <v>138</v>
      </c>
      <c r="B33" s="19" t="s">
        <v>137</v>
      </c>
      <c r="C33" s="19">
        <v>19424</v>
      </c>
      <c r="D33" s="21">
        <v>409457.91999999998</v>
      </c>
      <c r="E33" s="14">
        <f t="shared" si="0"/>
        <v>145</v>
      </c>
      <c r="F33" s="22">
        <f t="shared" si="1"/>
        <v>0.99409745990652887</v>
      </c>
      <c r="G33" s="14" t="str">
        <f t="shared" si="2"/>
        <v>C</v>
      </c>
    </row>
    <row r="34" spans="1:7" x14ac:dyDescent="0.3">
      <c r="A34" s="19" t="s">
        <v>140</v>
      </c>
      <c r="B34" s="19" t="s">
        <v>137</v>
      </c>
      <c r="C34" s="19">
        <v>22241</v>
      </c>
      <c r="D34" s="21">
        <v>747742.42</v>
      </c>
      <c r="E34" s="14">
        <f t="shared" ref="E34:E65" si="3">RANK(D34,$D$2:$D$151)</f>
        <v>128</v>
      </c>
      <c r="F34" s="22">
        <f t="shared" ref="F34:F65" si="4">SUMPRODUCT(($E$2:$E$151&lt;=E34)*$D$2:$D$151)/SUM($D$2:$D$151)</f>
        <v>0.96520201589157273</v>
      </c>
      <c r="G34" s="14" t="str">
        <f t="shared" ref="G34:G65" si="5">IF(F34&lt;=0.8,"A",IF(F34&lt;=0.95,"B","C"))</f>
        <v>C</v>
      </c>
    </row>
    <row r="35" spans="1:7" x14ac:dyDescent="0.3">
      <c r="A35" s="19" t="s">
        <v>142</v>
      </c>
      <c r="B35" s="19" t="s">
        <v>137</v>
      </c>
      <c r="C35" s="19">
        <v>14783</v>
      </c>
      <c r="D35" s="21">
        <v>415402.3</v>
      </c>
      <c r="E35" s="14">
        <f t="shared" si="3"/>
        <v>144</v>
      </c>
      <c r="F35" s="22">
        <f t="shared" si="4"/>
        <v>0.99276411224246297</v>
      </c>
      <c r="G35" s="14" t="str">
        <f t="shared" si="5"/>
        <v>C</v>
      </c>
    </row>
    <row r="36" spans="1:7" x14ac:dyDescent="0.3">
      <c r="A36" s="19" t="s">
        <v>144</v>
      </c>
      <c r="B36" s="19" t="s">
        <v>137</v>
      </c>
      <c r="C36" s="19">
        <v>30111</v>
      </c>
      <c r="D36" s="21">
        <v>3252590.22</v>
      </c>
      <c r="E36" s="14">
        <f t="shared" si="3"/>
        <v>27</v>
      </c>
      <c r="F36" s="22">
        <f t="shared" si="4"/>
        <v>0.4006410599128889</v>
      </c>
      <c r="G36" s="14" t="str">
        <f t="shared" si="5"/>
        <v>A</v>
      </c>
    </row>
    <row r="37" spans="1:7" x14ac:dyDescent="0.3">
      <c r="A37" s="19" t="s">
        <v>147</v>
      </c>
      <c r="B37" s="19" t="s">
        <v>137</v>
      </c>
      <c r="C37" s="19">
        <v>23540</v>
      </c>
      <c r="D37" s="21">
        <v>1987011.4</v>
      </c>
      <c r="E37" s="14">
        <f t="shared" si="3"/>
        <v>60</v>
      </c>
      <c r="F37" s="22">
        <f t="shared" si="4"/>
        <v>0.67281350611629664</v>
      </c>
      <c r="G37" s="14" t="str">
        <f t="shared" si="5"/>
        <v>A</v>
      </c>
    </row>
    <row r="38" spans="1:7" x14ac:dyDescent="0.3">
      <c r="A38" s="19" t="s">
        <v>150</v>
      </c>
      <c r="B38" s="19" t="s">
        <v>137</v>
      </c>
      <c r="C38" s="19">
        <v>15651</v>
      </c>
      <c r="D38" s="21">
        <v>801018.18</v>
      </c>
      <c r="E38" s="14">
        <f t="shared" si="3"/>
        <v>125</v>
      </c>
      <c r="F38" s="22">
        <f t="shared" si="4"/>
        <v>0.95776243132981309</v>
      </c>
      <c r="G38" s="14" t="str">
        <f t="shared" si="5"/>
        <v>C</v>
      </c>
    </row>
    <row r="39" spans="1:7" x14ac:dyDescent="0.3">
      <c r="A39" s="19" t="s">
        <v>152</v>
      </c>
      <c r="B39" s="19" t="s">
        <v>137</v>
      </c>
      <c r="C39" s="19">
        <v>15807</v>
      </c>
      <c r="D39" s="21">
        <v>1515733.23</v>
      </c>
      <c r="E39" s="14">
        <f t="shared" si="3"/>
        <v>84</v>
      </c>
      <c r="F39" s="22">
        <f t="shared" si="4"/>
        <v>0.80870164327449579</v>
      </c>
      <c r="G39" s="14" t="str">
        <f t="shared" si="5"/>
        <v>B</v>
      </c>
    </row>
    <row r="40" spans="1:7" x14ac:dyDescent="0.3">
      <c r="A40" s="19" t="s">
        <v>154</v>
      </c>
      <c r="B40" s="19" t="s">
        <v>137</v>
      </c>
      <c r="C40" s="19">
        <v>38775</v>
      </c>
      <c r="D40" s="21">
        <v>3962417.25</v>
      </c>
      <c r="E40" s="14">
        <f t="shared" si="3"/>
        <v>19</v>
      </c>
      <c r="F40" s="22">
        <f t="shared" si="4"/>
        <v>0.31044457087575544</v>
      </c>
      <c r="G40" s="14" t="str">
        <f t="shared" si="5"/>
        <v>A</v>
      </c>
    </row>
    <row r="41" spans="1:7" x14ac:dyDescent="0.3">
      <c r="A41" s="19" t="s">
        <v>156</v>
      </c>
      <c r="B41" s="19" t="s">
        <v>137</v>
      </c>
      <c r="C41" s="19">
        <v>39367</v>
      </c>
      <c r="D41" s="21">
        <v>4309899.16</v>
      </c>
      <c r="E41" s="14">
        <f t="shared" si="3"/>
        <v>14</v>
      </c>
      <c r="F41" s="22">
        <f t="shared" si="4"/>
        <v>0.2433229751722418</v>
      </c>
      <c r="G41" s="14" t="str">
        <f t="shared" si="5"/>
        <v>A</v>
      </c>
    </row>
    <row r="42" spans="1:7" x14ac:dyDescent="0.3">
      <c r="A42" s="19" t="s">
        <v>159</v>
      </c>
      <c r="B42" s="19" t="s">
        <v>137</v>
      </c>
      <c r="C42" s="19">
        <v>16835</v>
      </c>
      <c r="D42" s="21">
        <v>439898.55</v>
      </c>
      <c r="E42" s="14">
        <f t="shared" si="3"/>
        <v>139</v>
      </c>
      <c r="F42" s="22">
        <f t="shared" si="4"/>
        <v>0.98583656486404492</v>
      </c>
      <c r="G42" s="14" t="str">
        <f t="shared" si="5"/>
        <v>C</v>
      </c>
    </row>
    <row r="43" spans="1:7" x14ac:dyDescent="0.3">
      <c r="A43" s="19" t="s">
        <v>161</v>
      </c>
      <c r="B43" s="19" t="s">
        <v>137</v>
      </c>
      <c r="C43" s="19">
        <v>26048</v>
      </c>
      <c r="D43" s="21">
        <v>1903066.88</v>
      </c>
      <c r="E43" s="14">
        <f t="shared" si="3"/>
        <v>64</v>
      </c>
      <c r="F43" s="22">
        <f t="shared" si="4"/>
        <v>0.69807234922229944</v>
      </c>
      <c r="G43" s="14" t="str">
        <f t="shared" si="5"/>
        <v>A</v>
      </c>
    </row>
    <row r="44" spans="1:7" x14ac:dyDescent="0.3">
      <c r="A44" s="19" t="s">
        <v>163</v>
      </c>
      <c r="B44" s="19" t="s">
        <v>137</v>
      </c>
      <c r="C44" s="19">
        <v>23749</v>
      </c>
      <c r="D44" s="21">
        <v>2118173.31</v>
      </c>
      <c r="E44" s="14">
        <f t="shared" si="3"/>
        <v>55</v>
      </c>
      <c r="F44" s="22">
        <f t="shared" si="4"/>
        <v>0.63919239926198645</v>
      </c>
      <c r="G44" s="14" t="str">
        <f t="shared" si="5"/>
        <v>A</v>
      </c>
    </row>
    <row r="45" spans="1:7" x14ac:dyDescent="0.3">
      <c r="A45" s="19" t="s">
        <v>165</v>
      </c>
      <c r="B45" s="19" t="s">
        <v>137</v>
      </c>
      <c r="C45" s="19">
        <v>17939</v>
      </c>
      <c r="D45" s="21">
        <v>2179767.89</v>
      </c>
      <c r="E45" s="14">
        <f t="shared" si="3"/>
        <v>52</v>
      </c>
      <c r="F45" s="22">
        <f t="shared" si="4"/>
        <v>0.618170794390422</v>
      </c>
      <c r="G45" s="14" t="str">
        <f t="shared" si="5"/>
        <v>A</v>
      </c>
    </row>
    <row r="46" spans="1:7" x14ac:dyDescent="0.3">
      <c r="A46" s="19" t="s">
        <v>167</v>
      </c>
      <c r="B46" s="19" t="s">
        <v>137</v>
      </c>
      <c r="C46" s="19">
        <v>14422</v>
      </c>
      <c r="D46" s="21">
        <v>1943508.72</v>
      </c>
      <c r="E46" s="14">
        <f t="shared" si="3"/>
        <v>62</v>
      </c>
      <c r="F46" s="22">
        <f t="shared" si="4"/>
        <v>0.6856102653282139</v>
      </c>
      <c r="G46" s="14" t="str">
        <f t="shared" si="5"/>
        <v>A</v>
      </c>
    </row>
    <row r="47" spans="1:7" x14ac:dyDescent="0.3">
      <c r="A47" s="19" t="s">
        <v>169</v>
      </c>
      <c r="B47" s="19" t="s">
        <v>137</v>
      </c>
      <c r="C47" s="19">
        <v>26602</v>
      </c>
      <c r="D47" s="21">
        <v>419513.54</v>
      </c>
      <c r="E47" s="14">
        <f t="shared" si="3"/>
        <v>143</v>
      </c>
      <c r="F47" s="22">
        <f t="shared" si="4"/>
        <v>0.99141140746060741</v>
      </c>
      <c r="G47" s="14" t="str">
        <f t="shared" si="5"/>
        <v>C</v>
      </c>
    </row>
    <row r="48" spans="1:7" x14ac:dyDescent="0.3">
      <c r="A48" s="19" t="s">
        <v>171</v>
      </c>
      <c r="B48" s="19" t="s">
        <v>137</v>
      </c>
      <c r="C48" s="19">
        <v>31602</v>
      </c>
      <c r="D48" s="21">
        <v>4047900.18</v>
      </c>
      <c r="E48" s="14">
        <f t="shared" si="3"/>
        <v>18</v>
      </c>
      <c r="F48" s="22">
        <f t="shared" si="4"/>
        <v>0.29754146282415883</v>
      </c>
      <c r="G48" s="14" t="str">
        <f t="shared" si="5"/>
        <v>A</v>
      </c>
    </row>
    <row r="49" spans="1:7" x14ac:dyDescent="0.3">
      <c r="A49" s="19" t="s">
        <v>173</v>
      </c>
      <c r="B49" s="19" t="s">
        <v>137</v>
      </c>
      <c r="C49" s="19">
        <v>28642</v>
      </c>
      <c r="D49" s="21">
        <v>3862946.54</v>
      </c>
      <c r="E49" s="14">
        <f t="shared" si="3"/>
        <v>20</v>
      </c>
      <c r="F49" s="22">
        <f t="shared" si="4"/>
        <v>0.32302376520546949</v>
      </c>
      <c r="G49" s="14" t="str">
        <f t="shared" si="5"/>
        <v>A</v>
      </c>
    </row>
    <row r="50" spans="1:7" x14ac:dyDescent="0.3">
      <c r="A50" s="19" t="s">
        <v>175</v>
      </c>
      <c r="B50" s="19" t="s">
        <v>137</v>
      </c>
      <c r="C50" s="19">
        <v>38861</v>
      </c>
      <c r="D50" s="21">
        <v>1580865.48</v>
      </c>
      <c r="E50" s="14">
        <f t="shared" si="3"/>
        <v>80</v>
      </c>
      <c r="F50" s="22">
        <f t="shared" si="4"/>
        <v>0.78884802263298248</v>
      </c>
      <c r="G50" s="14" t="str">
        <f t="shared" si="5"/>
        <v>A</v>
      </c>
    </row>
    <row r="51" spans="1:7" x14ac:dyDescent="0.3">
      <c r="A51" s="19" t="s">
        <v>177</v>
      </c>
      <c r="B51" s="19" t="s">
        <v>137</v>
      </c>
      <c r="C51" s="19">
        <v>41017</v>
      </c>
      <c r="D51" s="21">
        <v>1854378.57</v>
      </c>
      <c r="E51" s="14">
        <f t="shared" si="3"/>
        <v>67</v>
      </c>
      <c r="F51" s="22">
        <f t="shared" si="4"/>
        <v>0.71648397696591637</v>
      </c>
      <c r="G51" s="14" t="str">
        <f t="shared" si="5"/>
        <v>A</v>
      </c>
    </row>
    <row r="52" spans="1:7" x14ac:dyDescent="0.3">
      <c r="A52" s="19" t="s">
        <v>179</v>
      </c>
      <c r="B52" s="19" t="s">
        <v>137</v>
      </c>
      <c r="C52" s="19">
        <v>20921</v>
      </c>
      <c r="D52" s="21">
        <v>2114694.6800000002</v>
      </c>
      <c r="E52" s="14">
        <f t="shared" si="3"/>
        <v>56</v>
      </c>
      <c r="F52" s="22">
        <f t="shared" si="4"/>
        <v>0.64607863365645268</v>
      </c>
      <c r="G52" s="14" t="str">
        <f t="shared" si="5"/>
        <v>A</v>
      </c>
    </row>
    <row r="53" spans="1:7" x14ac:dyDescent="0.3">
      <c r="A53" s="19" t="s">
        <v>181</v>
      </c>
      <c r="B53" s="19" t="s">
        <v>137</v>
      </c>
      <c r="C53" s="19">
        <v>20555</v>
      </c>
      <c r="D53" s="21">
        <v>722302.7</v>
      </c>
      <c r="E53" s="14">
        <f t="shared" si="3"/>
        <v>129</v>
      </c>
      <c r="F53" s="22">
        <f t="shared" si="4"/>
        <v>0.96755410281125787</v>
      </c>
      <c r="G53" s="14" t="str">
        <f t="shared" si="5"/>
        <v>C</v>
      </c>
    </row>
    <row r="54" spans="1:7" x14ac:dyDescent="0.3">
      <c r="A54" s="19" t="s">
        <v>183</v>
      </c>
      <c r="B54" s="19" t="s">
        <v>137</v>
      </c>
      <c r="C54" s="19">
        <v>39779</v>
      </c>
      <c r="D54" s="21">
        <v>4858209.2699999996</v>
      </c>
      <c r="E54" s="14">
        <f t="shared" si="3"/>
        <v>8</v>
      </c>
      <c r="F54" s="22">
        <f t="shared" si="4"/>
        <v>0.1552465981364719</v>
      </c>
      <c r="G54" s="14" t="str">
        <f t="shared" si="5"/>
        <v>A</v>
      </c>
    </row>
    <row r="55" spans="1:7" x14ac:dyDescent="0.3">
      <c r="A55" s="19" t="s">
        <v>185</v>
      </c>
      <c r="B55" s="19" t="s">
        <v>137</v>
      </c>
      <c r="C55" s="19">
        <v>15165</v>
      </c>
      <c r="D55" s="21">
        <v>519097.95</v>
      </c>
      <c r="E55" s="14">
        <f t="shared" si="3"/>
        <v>136</v>
      </c>
      <c r="F55" s="22">
        <f t="shared" si="4"/>
        <v>0.98135899156007611</v>
      </c>
      <c r="G55" s="14" t="str">
        <f t="shared" si="5"/>
        <v>C</v>
      </c>
    </row>
    <row r="56" spans="1:7" x14ac:dyDescent="0.3">
      <c r="A56" s="19" t="s">
        <v>187</v>
      </c>
      <c r="B56" s="19" t="s">
        <v>137</v>
      </c>
      <c r="C56" s="19">
        <v>12438</v>
      </c>
      <c r="D56" s="21">
        <v>395279.64</v>
      </c>
      <c r="E56" s="14">
        <f t="shared" si="3"/>
        <v>146</v>
      </c>
      <c r="F56" s="22">
        <f t="shared" si="4"/>
        <v>0.99538463780419129</v>
      </c>
      <c r="G56" s="14" t="str">
        <f t="shared" si="5"/>
        <v>C</v>
      </c>
    </row>
    <row r="57" spans="1:7" x14ac:dyDescent="0.3">
      <c r="A57" s="19" t="s">
        <v>189</v>
      </c>
      <c r="B57" s="19" t="s">
        <v>137</v>
      </c>
      <c r="C57" s="19">
        <v>19442</v>
      </c>
      <c r="D57" s="21">
        <v>1275589.6200000001</v>
      </c>
      <c r="E57" s="14">
        <f t="shared" si="3"/>
        <v>97</v>
      </c>
      <c r="F57" s="22">
        <f t="shared" si="4"/>
        <v>0.86700713473752167</v>
      </c>
      <c r="G57" s="14" t="str">
        <f t="shared" si="5"/>
        <v>B</v>
      </c>
    </row>
    <row r="58" spans="1:7" x14ac:dyDescent="0.3">
      <c r="A58" s="19" t="s">
        <v>191</v>
      </c>
      <c r="B58" s="19" t="s">
        <v>137</v>
      </c>
      <c r="C58" s="19">
        <v>14966</v>
      </c>
      <c r="D58" s="21">
        <v>938218.54</v>
      </c>
      <c r="E58" s="14">
        <f t="shared" si="3"/>
        <v>114</v>
      </c>
      <c r="F58" s="22">
        <f t="shared" si="4"/>
        <v>0.92687218562165741</v>
      </c>
      <c r="G58" s="14" t="str">
        <f t="shared" si="5"/>
        <v>B</v>
      </c>
    </row>
    <row r="59" spans="1:7" x14ac:dyDescent="0.3">
      <c r="A59" s="19" t="s">
        <v>193</v>
      </c>
      <c r="B59" s="19" t="s">
        <v>137</v>
      </c>
      <c r="C59" s="19">
        <v>35968</v>
      </c>
      <c r="D59" s="21">
        <v>2772773.12</v>
      </c>
      <c r="E59" s="14">
        <f t="shared" si="3"/>
        <v>37</v>
      </c>
      <c r="F59" s="22">
        <f t="shared" si="4"/>
        <v>0.49811957452894501</v>
      </c>
      <c r="G59" s="14" t="str">
        <f t="shared" si="5"/>
        <v>A</v>
      </c>
    </row>
    <row r="60" spans="1:7" x14ac:dyDescent="0.3">
      <c r="A60" s="19" t="s">
        <v>195</v>
      </c>
      <c r="B60" s="19" t="s">
        <v>137</v>
      </c>
      <c r="C60" s="19">
        <v>11384</v>
      </c>
      <c r="D60" s="21">
        <v>904914.16</v>
      </c>
      <c r="E60" s="14">
        <f t="shared" si="3"/>
        <v>116</v>
      </c>
      <c r="F60" s="22">
        <f t="shared" si="4"/>
        <v>0.93282918790018488</v>
      </c>
      <c r="G60" s="14" t="str">
        <f t="shared" si="5"/>
        <v>B</v>
      </c>
    </row>
    <row r="61" spans="1:7" x14ac:dyDescent="0.3">
      <c r="A61" s="19" t="s">
        <v>198</v>
      </c>
      <c r="B61" s="19" t="s">
        <v>137</v>
      </c>
      <c r="C61" s="19">
        <v>28445</v>
      </c>
      <c r="D61" s="21">
        <v>568900</v>
      </c>
      <c r="E61" s="14">
        <f t="shared" si="3"/>
        <v>134</v>
      </c>
      <c r="F61" s="22">
        <f t="shared" si="4"/>
        <v>0.97795714709802617</v>
      </c>
      <c r="G61" s="14" t="str">
        <f t="shared" si="5"/>
        <v>C</v>
      </c>
    </row>
    <row r="62" spans="1:7" x14ac:dyDescent="0.3">
      <c r="A62" s="19" t="s">
        <v>200</v>
      </c>
      <c r="B62" s="19" t="s">
        <v>202</v>
      </c>
      <c r="C62" s="19">
        <v>12766</v>
      </c>
      <c r="D62" s="21">
        <v>4815462.8600000003</v>
      </c>
      <c r="E62" s="14">
        <f t="shared" si="3"/>
        <v>9</v>
      </c>
      <c r="F62" s="22">
        <f t="shared" si="4"/>
        <v>0.17092754077345199</v>
      </c>
      <c r="G62" s="14" t="str">
        <f t="shared" si="5"/>
        <v>A</v>
      </c>
    </row>
    <row r="63" spans="1:7" x14ac:dyDescent="0.3">
      <c r="A63" s="19" t="s">
        <v>204</v>
      </c>
      <c r="B63" s="19" t="s">
        <v>202</v>
      </c>
      <c r="C63" s="19">
        <v>7547</v>
      </c>
      <c r="D63" s="21">
        <v>3258945.54</v>
      </c>
      <c r="E63" s="14">
        <f t="shared" si="3"/>
        <v>25</v>
      </c>
      <c r="F63" s="22">
        <f t="shared" si="4"/>
        <v>0.37943806559615229</v>
      </c>
      <c r="G63" s="14" t="str">
        <f t="shared" si="5"/>
        <v>A</v>
      </c>
    </row>
    <row r="64" spans="1:7" x14ac:dyDescent="0.3">
      <c r="A64" s="19" t="s">
        <v>206</v>
      </c>
      <c r="B64" s="19" t="s">
        <v>202</v>
      </c>
      <c r="C64" s="19">
        <v>18844</v>
      </c>
      <c r="D64" s="21">
        <v>4565147.4400000004</v>
      </c>
      <c r="E64" s="14">
        <f t="shared" si="3"/>
        <v>11</v>
      </c>
      <c r="F64" s="22">
        <f t="shared" si="4"/>
        <v>0.20081128093042319</v>
      </c>
      <c r="G64" s="14" t="str">
        <f t="shared" si="5"/>
        <v>A</v>
      </c>
    </row>
    <row r="65" spans="1:7" x14ac:dyDescent="0.3">
      <c r="A65" s="19" t="s">
        <v>208</v>
      </c>
      <c r="B65" s="19" t="s">
        <v>202</v>
      </c>
      <c r="C65" s="19">
        <v>18966</v>
      </c>
      <c r="D65" s="21">
        <v>4280815.8600000003</v>
      </c>
      <c r="E65" s="14">
        <f t="shared" si="3"/>
        <v>15</v>
      </c>
      <c r="F65" s="22">
        <f t="shared" si="4"/>
        <v>0.25726290782082095</v>
      </c>
      <c r="G65" s="14" t="str">
        <f t="shared" si="5"/>
        <v>A</v>
      </c>
    </row>
    <row r="66" spans="1:7" x14ac:dyDescent="0.3">
      <c r="A66" s="19" t="s">
        <v>211</v>
      </c>
      <c r="B66" s="19" t="s">
        <v>202</v>
      </c>
      <c r="C66" s="19">
        <v>9111</v>
      </c>
      <c r="D66" s="21">
        <v>3258640.26</v>
      </c>
      <c r="E66" s="14">
        <f t="shared" ref="E66:E97" si="6">RANK(D66,$D$2:$D$151)</f>
        <v>26</v>
      </c>
      <c r="F66" s="22">
        <f t="shared" ref="F66:F97" si="7">SUMPRODUCT(($E$2:$E$151&lt;=E66)*$D$2:$D$151)/SUM($D$2:$D$151)</f>
        <v>0.39004941334759435</v>
      </c>
      <c r="G66" s="14" t="str">
        <f t="shared" ref="G66:G97" si="8">IF(F66&lt;=0.8,"A",IF(F66&lt;=0.95,"B","C"))</f>
        <v>A</v>
      </c>
    </row>
    <row r="67" spans="1:7" x14ac:dyDescent="0.3">
      <c r="A67" s="19" t="s">
        <v>214</v>
      </c>
      <c r="B67" s="19" t="s">
        <v>202</v>
      </c>
      <c r="C67" s="19">
        <v>15994</v>
      </c>
      <c r="D67" s="21">
        <v>5930895.0800000001</v>
      </c>
      <c r="E67" s="14">
        <f t="shared" si="6"/>
        <v>4</v>
      </c>
      <c r="F67" s="22">
        <f t="shared" si="7"/>
        <v>8.3974116531595436E-2</v>
      </c>
      <c r="G67" s="14" t="str">
        <f t="shared" si="8"/>
        <v>A</v>
      </c>
    </row>
    <row r="68" spans="1:7" x14ac:dyDescent="0.3">
      <c r="A68" s="19" t="s">
        <v>216</v>
      </c>
      <c r="B68" s="19" t="s">
        <v>202</v>
      </c>
      <c r="C68" s="19">
        <v>12301</v>
      </c>
      <c r="D68" s="21">
        <v>2492182.6</v>
      </c>
      <c r="E68" s="14">
        <f t="shared" si="6"/>
        <v>44</v>
      </c>
      <c r="F68" s="22">
        <f t="shared" si="7"/>
        <v>0.55751316778082871</v>
      </c>
      <c r="G68" s="14" t="str">
        <f t="shared" si="8"/>
        <v>A</v>
      </c>
    </row>
    <row r="69" spans="1:7" x14ac:dyDescent="0.3">
      <c r="A69" s="19" t="s">
        <v>218</v>
      </c>
      <c r="B69" s="19" t="s">
        <v>202</v>
      </c>
      <c r="C69" s="19">
        <v>7907</v>
      </c>
      <c r="D69" s="21">
        <v>1526683.56</v>
      </c>
      <c r="E69" s="14">
        <f t="shared" si="6"/>
        <v>82</v>
      </c>
      <c r="F69" s="22">
        <f t="shared" si="7"/>
        <v>0.79882463981185214</v>
      </c>
      <c r="G69" s="14" t="str">
        <f t="shared" si="8"/>
        <v>A</v>
      </c>
    </row>
    <row r="70" spans="1:7" x14ac:dyDescent="0.3">
      <c r="A70" s="19" t="s">
        <v>220</v>
      </c>
      <c r="B70" s="19" t="s">
        <v>202</v>
      </c>
      <c r="C70" s="19">
        <v>10353</v>
      </c>
      <c r="D70" s="21">
        <v>1370012.49</v>
      </c>
      <c r="E70" s="14">
        <f t="shared" si="6"/>
        <v>92</v>
      </c>
      <c r="F70" s="22">
        <f t="shared" si="7"/>
        <v>0.84560954889101259</v>
      </c>
      <c r="G70" s="14" t="str">
        <f t="shared" si="8"/>
        <v>B</v>
      </c>
    </row>
    <row r="71" spans="1:7" x14ac:dyDescent="0.3">
      <c r="A71" s="19" t="s">
        <v>222</v>
      </c>
      <c r="B71" s="19" t="s">
        <v>202</v>
      </c>
      <c r="C71" s="19">
        <v>18823</v>
      </c>
      <c r="D71" s="21">
        <v>5907975.0099999998</v>
      </c>
      <c r="E71" s="14">
        <f t="shared" si="6"/>
        <v>5</v>
      </c>
      <c r="F71" s="22">
        <f t="shared" si="7"/>
        <v>0.10321268609924066</v>
      </c>
      <c r="G71" s="14" t="str">
        <f t="shared" si="8"/>
        <v>A</v>
      </c>
    </row>
    <row r="72" spans="1:7" x14ac:dyDescent="0.3">
      <c r="A72" s="19" t="s">
        <v>224</v>
      </c>
      <c r="B72" s="19" t="s">
        <v>202</v>
      </c>
      <c r="C72" s="19">
        <v>7828</v>
      </c>
      <c r="D72" s="21">
        <v>2830839.64</v>
      </c>
      <c r="E72" s="14">
        <f t="shared" si="6"/>
        <v>35</v>
      </c>
      <c r="F72" s="22">
        <f t="shared" si="7"/>
        <v>0.47989024397700292</v>
      </c>
      <c r="G72" s="14" t="str">
        <f t="shared" si="8"/>
        <v>A</v>
      </c>
    </row>
    <row r="73" spans="1:7" x14ac:dyDescent="0.3">
      <c r="A73" s="19" t="s">
        <v>226</v>
      </c>
      <c r="B73" s="19" t="s">
        <v>202</v>
      </c>
      <c r="C73" s="19">
        <v>6174</v>
      </c>
      <c r="D73" s="21">
        <v>1122001.02</v>
      </c>
      <c r="E73" s="14">
        <f t="shared" si="6"/>
        <v>105</v>
      </c>
      <c r="F73" s="22">
        <f t="shared" si="7"/>
        <v>0.89761402856021588</v>
      </c>
      <c r="G73" s="14" t="str">
        <f t="shared" si="8"/>
        <v>B</v>
      </c>
    </row>
    <row r="74" spans="1:7" x14ac:dyDescent="0.3">
      <c r="A74" s="19" t="s">
        <v>228</v>
      </c>
      <c r="B74" s="19" t="s">
        <v>202</v>
      </c>
      <c r="C74" s="19">
        <v>8681</v>
      </c>
      <c r="D74" s="21">
        <v>2271904.5099999998</v>
      </c>
      <c r="E74" s="14">
        <f t="shared" si="6"/>
        <v>50</v>
      </c>
      <c r="F74" s="22">
        <f t="shared" si="7"/>
        <v>0.60384564106937566</v>
      </c>
      <c r="G74" s="14" t="str">
        <f t="shared" si="8"/>
        <v>A</v>
      </c>
    </row>
    <row r="75" spans="1:7" x14ac:dyDescent="0.3">
      <c r="A75" s="19" t="s">
        <v>230</v>
      </c>
      <c r="B75" s="19" t="s">
        <v>202</v>
      </c>
      <c r="C75" s="19">
        <v>13947</v>
      </c>
      <c r="D75" s="21">
        <v>4611854.49</v>
      </c>
      <c r="E75" s="14">
        <f t="shared" si="6"/>
        <v>10</v>
      </c>
      <c r="F75" s="22">
        <f t="shared" si="7"/>
        <v>0.18594545863727888</v>
      </c>
      <c r="G75" s="14" t="str">
        <f t="shared" si="8"/>
        <v>A</v>
      </c>
    </row>
    <row r="76" spans="1:7" x14ac:dyDescent="0.3">
      <c r="A76" s="19" t="s">
        <v>232</v>
      </c>
      <c r="B76" s="19" t="s">
        <v>202</v>
      </c>
      <c r="C76" s="19">
        <v>10486</v>
      </c>
      <c r="D76" s="21">
        <v>3597746.6</v>
      </c>
      <c r="E76" s="14">
        <f t="shared" si="6"/>
        <v>22</v>
      </c>
      <c r="F76" s="22">
        <f t="shared" si="7"/>
        <v>0.34654124256433488</v>
      </c>
      <c r="G76" s="14" t="str">
        <f t="shared" si="8"/>
        <v>A</v>
      </c>
    </row>
    <row r="77" spans="1:7" x14ac:dyDescent="0.3">
      <c r="A77" s="19" t="s">
        <v>234</v>
      </c>
      <c r="B77" s="19" t="s">
        <v>202</v>
      </c>
      <c r="C77" s="19">
        <v>14308</v>
      </c>
      <c r="D77" s="21">
        <v>3243051.28</v>
      </c>
      <c r="E77" s="14">
        <f t="shared" si="6"/>
        <v>28</v>
      </c>
      <c r="F77" s="22">
        <f t="shared" si="7"/>
        <v>0.41120164413271293</v>
      </c>
      <c r="G77" s="14" t="str">
        <f t="shared" si="8"/>
        <v>A</v>
      </c>
    </row>
    <row r="78" spans="1:7" x14ac:dyDescent="0.3">
      <c r="A78" s="19" t="s">
        <v>236</v>
      </c>
      <c r="B78" s="19" t="s">
        <v>202</v>
      </c>
      <c r="C78" s="19">
        <v>8409</v>
      </c>
      <c r="D78" s="21">
        <v>2296666.08</v>
      </c>
      <c r="E78" s="14">
        <f t="shared" si="6"/>
        <v>49</v>
      </c>
      <c r="F78" s="22">
        <f t="shared" si="7"/>
        <v>0.59644747284884314</v>
      </c>
      <c r="G78" s="14" t="str">
        <f t="shared" si="8"/>
        <v>A</v>
      </c>
    </row>
    <row r="79" spans="1:7" x14ac:dyDescent="0.3">
      <c r="A79" s="19" t="s">
        <v>238</v>
      </c>
      <c r="B79" s="19" t="s">
        <v>202</v>
      </c>
      <c r="C79" s="19">
        <v>8891</v>
      </c>
      <c r="D79" s="21">
        <v>3359286.53</v>
      </c>
      <c r="E79" s="14">
        <f t="shared" si="6"/>
        <v>24</v>
      </c>
      <c r="F79" s="22">
        <f t="shared" si="7"/>
        <v>0.36882572373919903</v>
      </c>
      <c r="G79" s="14" t="str">
        <f t="shared" si="8"/>
        <v>A</v>
      </c>
    </row>
    <row r="80" spans="1:7" x14ac:dyDescent="0.3">
      <c r="A80" s="19" t="s">
        <v>240</v>
      </c>
      <c r="B80" s="19" t="s">
        <v>202</v>
      </c>
      <c r="C80" s="19">
        <v>19157</v>
      </c>
      <c r="D80" s="21">
        <v>6120853.0700000003</v>
      </c>
      <c r="E80" s="14">
        <f t="shared" si="6"/>
        <v>3</v>
      </c>
      <c r="F80" s="22">
        <f t="shared" si="7"/>
        <v>6.4660910669713342E-2</v>
      </c>
      <c r="G80" s="14" t="str">
        <f t="shared" si="8"/>
        <v>A</v>
      </c>
    </row>
    <row r="81" spans="1:7" x14ac:dyDescent="0.3">
      <c r="A81" s="19" t="s">
        <v>242</v>
      </c>
      <c r="B81" s="19" t="s">
        <v>202</v>
      </c>
      <c r="C81" s="19">
        <v>11752</v>
      </c>
      <c r="D81" s="21">
        <v>1591338.32</v>
      </c>
      <c r="E81" s="14">
        <f t="shared" si="6"/>
        <v>78</v>
      </c>
      <c r="F81" s="22">
        <f t="shared" si="7"/>
        <v>0.7785316237854123</v>
      </c>
      <c r="G81" s="14" t="str">
        <f t="shared" si="8"/>
        <v>A</v>
      </c>
    </row>
    <row r="82" spans="1:7" x14ac:dyDescent="0.3">
      <c r="A82" s="19" t="s">
        <v>244</v>
      </c>
      <c r="B82" s="19" t="s">
        <v>202</v>
      </c>
      <c r="C82" s="19">
        <v>8122</v>
      </c>
      <c r="D82" s="21">
        <v>2048043.52</v>
      </c>
      <c r="E82" s="14">
        <f t="shared" si="6"/>
        <v>59</v>
      </c>
      <c r="F82" s="22">
        <f t="shared" si="7"/>
        <v>0.66634305609138966</v>
      </c>
      <c r="G82" s="14" t="str">
        <f t="shared" si="8"/>
        <v>A</v>
      </c>
    </row>
    <row r="83" spans="1:7" x14ac:dyDescent="0.3">
      <c r="A83" s="19" t="s">
        <v>246</v>
      </c>
      <c r="B83" s="19" t="s">
        <v>202</v>
      </c>
      <c r="C83" s="19">
        <v>8819</v>
      </c>
      <c r="D83" s="21">
        <v>1517397.14</v>
      </c>
      <c r="E83" s="14">
        <f t="shared" si="6"/>
        <v>83</v>
      </c>
      <c r="F83" s="22">
        <f t="shared" si="7"/>
        <v>0.80376585069886897</v>
      </c>
      <c r="G83" s="14" t="str">
        <f t="shared" si="8"/>
        <v>B</v>
      </c>
    </row>
    <row r="84" spans="1:7" x14ac:dyDescent="0.3">
      <c r="A84" s="19" t="s">
        <v>248</v>
      </c>
      <c r="B84" s="19" t="s">
        <v>202</v>
      </c>
      <c r="C84" s="19">
        <v>8254</v>
      </c>
      <c r="D84" s="21">
        <v>2977878.12</v>
      </c>
      <c r="E84" s="14">
        <f t="shared" si="6"/>
        <v>33</v>
      </c>
      <c r="F84" s="22">
        <f t="shared" si="7"/>
        <v>0.4612864076847194</v>
      </c>
      <c r="G84" s="14" t="str">
        <f t="shared" si="8"/>
        <v>A</v>
      </c>
    </row>
    <row r="85" spans="1:7" x14ac:dyDescent="0.3">
      <c r="A85" s="19" t="s">
        <v>250</v>
      </c>
      <c r="B85" s="19" t="s">
        <v>202</v>
      </c>
      <c r="C85" s="19">
        <v>11456</v>
      </c>
      <c r="D85" s="21">
        <v>2882215.04</v>
      </c>
      <c r="E85" s="14">
        <f t="shared" si="6"/>
        <v>34</v>
      </c>
      <c r="F85" s="22">
        <f t="shared" si="7"/>
        <v>0.47067197456035753</v>
      </c>
      <c r="G85" s="14" t="str">
        <f t="shared" si="8"/>
        <v>A</v>
      </c>
    </row>
    <row r="86" spans="1:7" x14ac:dyDescent="0.3">
      <c r="A86" s="19" t="s">
        <v>252</v>
      </c>
      <c r="B86" s="19" t="s">
        <v>202</v>
      </c>
      <c r="C86" s="19">
        <v>6818</v>
      </c>
      <c r="D86" s="21">
        <v>601961.22</v>
      </c>
      <c r="E86" s="14">
        <f t="shared" si="6"/>
        <v>133</v>
      </c>
      <c r="F86" s="22">
        <f t="shared" si="7"/>
        <v>0.97610459656954429</v>
      </c>
      <c r="G86" s="14" t="str">
        <f t="shared" si="8"/>
        <v>C</v>
      </c>
    </row>
    <row r="87" spans="1:7" x14ac:dyDescent="0.3">
      <c r="A87" s="19" t="s">
        <v>254</v>
      </c>
      <c r="B87" s="19" t="s">
        <v>202</v>
      </c>
      <c r="C87" s="19">
        <v>13428</v>
      </c>
      <c r="D87" s="21">
        <v>2603689.2000000002</v>
      </c>
      <c r="E87" s="14">
        <f t="shared" si="6"/>
        <v>40</v>
      </c>
      <c r="F87" s="22">
        <f t="shared" si="7"/>
        <v>0.52457882185744842</v>
      </c>
      <c r="G87" s="14" t="str">
        <f t="shared" si="8"/>
        <v>A</v>
      </c>
    </row>
    <row r="88" spans="1:7" x14ac:dyDescent="0.3">
      <c r="A88" s="19" t="s">
        <v>256</v>
      </c>
      <c r="B88" s="19" t="s">
        <v>202</v>
      </c>
      <c r="C88" s="19">
        <v>6628</v>
      </c>
      <c r="D88" s="21">
        <v>810935.8</v>
      </c>
      <c r="E88" s="14">
        <f t="shared" si="6"/>
        <v>123</v>
      </c>
      <c r="F88" s="22">
        <f t="shared" si="7"/>
        <v>0.95252069291629748</v>
      </c>
      <c r="G88" s="14" t="str">
        <f t="shared" si="8"/>
        <v>C</v>
      </c>
    </row>
    <row r="89" spans="1:7" x14ac:dyDescent="0.3">
      <c r="A89" s="19" t="s">
        <v>258</v>
      </c>
      <c r="B89" s="19" t="s">
        <v>202</v>
      </c>
      <c r="C89" s="19">
        <v>17771</v>
      </c>
      <c r="D89" s="21">
        <v>6201368.1600000001</v>
      </c>
      <c r="E89" s="14">
        <f t="shared" si="6"/>
        <v>2</v>
      </c>
      <c r="F89" s="22">
        <f t="shared" si="7"/>
        <v>4.4729130761841006E-2</v>
      </c>
      <c r="G89" s="14" t="str">
        <f t="shared" si="8"/>
        <v>A</v>
      </c>
    </row>
    <row r="90" spans="1:7" x14ac:dyDescent="0.3">
      <c r="A90" s="19" t="s">
        <v>260</v>
      </c>
      <c r="B90" s="19" t="s">
        <v>202</v>
      </c>
      <c r="C90" s="19">
        <v>9850</v>
      </c>
      <c r="D90" s="21">
        <v>924422.5</v>
      </c>
      <c r="E90" s="14">
        <f t="shared" si="6"/>
        <v>115</v>
      </c>
      <c r="F90" s="22">
        <f t="shared" si="7"/>
        <v>0.9298824499755256</v>
      </c>
      <c r="G90" s="14" t="str">
        <f t="shared" si="8"/>
        <v>B</v>
      </c>
    </row>
    <row r="91" spans="1:7" x14ac:dyDescent="0.3">
      <c r="A91" s="19" t="s">
        <v>262</v>
      </c>
      <c r="B91" s="19" t="s">
        <v>202</v>
      </c>
      <c r="C91" s="19">
        <v>7391</v>
      </c>
      <c r="D91" s="21">
        <v>971399.13</v>
      </c>
      <c r="E91" s="14">
        <f t="shared" si="6"/>
        <v>111</v>
      </c>
      <c r="F91" s="22">
        <f t="shared" si="7"/>
        <v>0.91754042079916676</v>
      </c>
      <c r="G91" s="14" t="str">
        <f t="shared" si="8"/>
        <v>B</v>
      </c>
    </row>
    <row r="92" spans="1:7" x14ac:dyDescent="0.3">
      <c r="A92" s="19" t="s">
        <v>264</v>
      </c>
      <c r="B92" s="19" t="s">
        <v>266</v>
      </c>
      <c r="C92" s="19">
        <v>52227</v>
      </c>
      <c r="D92" s="21">
        <v>2751840.63</v>
      </c>
      <c r="E92" s="14">
        <f t="shared" si="6"/>
        <v>39</v>
      </c>
      <c r="F92" s="22">
        <f t="shared" si="7"/>
        <v>0.51610023897212121</v>
      </c>
      <c r="G92" s="14" t="str">
        <f t="shared" si="8"/>
        <v>A</v>
      </c>
    </row>
    <row r="93" spans="1:7" x14ac:dyDescent="0.3">
      <c r="A93" s="19" t="s">
        <v>267</v>
      </c>
      <c r="B93" s="19" t="s">
        <v>266</v>
      </c>
      <c r="C93" s="19">
        <v>64278</v>
      </c>
      <c r="D93" s="21">
        <v>3174047.64</v>
      </c>
      <c r="E93" s="14">
        <f t="shared" si="6"/>
        <v>29</v>
      </c>
      <c r="F93" s="22">
        <f t="shared" si="7"/>
        <v>0.42153752677097761</v>
      </c>
      <c r="G93" s="14" t="str">
        <f t="shared" si="8"/>
        <v>A</v>
      </c>
    </row>
    <row r="94" spans="1:7" x14ac:dyDescent="0.3">
      <c r="A94" s="19" t="s">
        <v>269</v>
      </c>
      <c r="B94" s="19" t="s">
        <v>266</v>
      </c>
      <c r="C94" s="19">
        <v>25672</v>
      </c>
      <c r="D94" s="21">
        <v>808668</v>
      </c>
      <c r="E94" s="14">
        <f t="shared" si="6"/>
        <v>124</v>
      </c>
      <c r="F94" s="22">
        <f t="shared" si="7"/>
        <v>0.95515401745622786</v>
      </c>
      <c r="G94" s="14" t="str">
        <f t="shared" si="8"/>
        <v>C</v>
      </c>
    </row>
    <row r="95" spans="1:7" x14ac:dyDescent="0.3">
      <c r="A95" s="19" t="s">
        <v>271</v>
      </c>
      <c r="B95" s="19" t="s">
        <v>266</v>
      </c>
      <c r="C95" s="19">
        <v>19621</v>
      </c>
      <c r="D95" s="21">
        <v>1051685.6000000001</v>
      </c>
      <c r="E95" s="14">
        <f t="shared" si="6"/>
        <v>107</v>
      </c>
      <c r="F95" s="22">
        <f t="shared" si="7"/>
        <v>0.90458524608065505</v>
      </c>
      <c r="G95" s="14" t="str">
        <f t="shared" si="8"/>
        <v>B</v>
      </c>
    </row>
    <row r="96" spans="1:7" x14ac:dyDescent="0.3">
      <c r="A96" s="19" t="s">
        <v>273</v>
      </c>
      <c r="B96" s="19" t="s">
        <v>266</v>
      </c>
      <c r="C96" s="19">
        <v>43039</v>
      </c>
      <c r="D96" s="21">
        <v>1986249.85</v>
      </c>
      <c r="E96" s="14">
        <f t="shared" si="6"/>
        <v>61</v>
      </c>
      <c r="F96" s="22">
        <f t="shared" si="7"/>
        <v>0.67928147625044077</v>
      </c>
      <c r="G96" s="14" t="str">
        <f t="shared" si="8"/>
        <v>A</v>
      </c>
    </row>
    <row r="97" spans="1:7" x14ac:dyDescent="0.3">
      <c r="A97" s="19" t="s">
        <v>275</v>
      </c>
      <c r="B97" s="19" t="s">
        <v>266</v>
      </c>
      <c r="C97" s="19">
        <v>23224</v>
      </c>
      <c r="D97" s="21">
        <v>389466.48</v>
      </c>
      <c r="E97" s="14">
        <f t="shared" si="6"/>
        <v>147</v>
      </c>
      <c r="F97" s="22">
        <f t="shared" si="7"/>
        <v>0.99665288588531276</v>
      </c>
      <c r="G97" s="14" t="str">
        <f t="shared" si="8"/>
        <v>C</v>
      </c>
    </row>
    <row r="98" spans="1:7" x14ac:dyDescent="0.3">
      <c r="A98" s="19" t="s">
        <v>277</v>
      </c>
      <c r="B98" s="19" t="s">
        <v>266</v>
      </c>
      <c r="C98" s="19">
        <v>32942</v>
      </c>
      <c r="D98" s="21">
        <v>1377634.44</v>
      </c>
      <c r="E98" s="14">
        <f t="shared" ref="E98:E129" si="9">RANK(D98,$D$2:$D$151)</f>
        <v>90</v>
      </c>
      <c r="F98" s="22">
        <f t="shared" ref="F98:F129" si="10">SUMPRODUCT(($E$2:$E$151&lt;=E98)*$D$2:$D$151)/SUM($D$2:$D$151)</f>
        <v>0.83667179056526031</v>
      </c>
      <c r="G98" s="14" t="str">
        <f t="shared" ref="G98:G129" si="11">IF(F98&lt;=0.8,"A",IF(F98&lt;=0.95,"B","C"))</f>
        <v>B</v>
      </c>
    </row>
    <row r="99" spans="1:7" x14ac:dyDescent="0.3">
      <c r="A99" s="19" t="s">
        <v>279</v>
      </c>
      <c r="B99" s="19" t="s">
        <v>266</v>
      </c>
      <c r="C99" s="19">
        <v>53033</v>
      </c>
      <c r="D99" s="21">
        <v>2409289.19</v>
      </c>
      <c r="E99" s="14">
        <f t="shared" si="9"/>
        <v>46</v>
      </c>
      <c r="F99" s="22">
        <f t="shared" si="10"/>
        <v>0.57337239194814549</v>
      </c>
      <c r="G99" s="14" t="str">
        <f t="shared" si="11"/>
        <v>A</v>
      </c>
    </row>
    <row r="100" spans="1:7" x14ac:dyDescent="0.3">
      <c r="A100" s="19" t="s">
        <v>281</v>
      </c>
      <c r="B100" s="19" t="s">
        <v>266</v>
      </c>
      <c r="C100" s="19">
        <v>37541</v>
      </c>
      <c r="D100" s="21">
        <v>1300420.24</v>
      </c>
      <c r="E100" s="14">
        <f t="shared" si="9"/>
        <v>95</v>
      </c>
      <c r="F100" s="22">
        <f t="shared" si="10"/>
        <v>0.8586730412196798</v>
      </c>
      <c r="G100" s="14" t="str">
        <f t="shared" si="11"/>
        <v>B</v>
      </c>
    </row>
    <row r="101" spans="1:7" x14ac:dyDescent="0.3">
      <c r="A101" s="19" t="s">
        <v>283</v>
      </c>
      <c r="B101" s="19" t="s">
        <v>266</v>
      </c>
      <c r="C101" s="19">
        <v>55154</v>
      </c>
      <c r="D101" s="21">
        <v>2497924.66</v>
      </c>
      <c r="E101" s="14">
        <f t="shared" si="9"/>
        <v>43</v>
      </c>
      <c r="F101" s="22">
        <f t="shared" si="10"/>
        <v>0.54939769196310428</v>
      </c>
      <c r="G101" s="14" t="str">
        <f t="shared" si="11"/>
        <v>A</v>
      </c>
    </row>
    <row r="102" spans="1:7" x14ac:dyDescent="0.3">
      <c r="A102" s="19" t="s">
        <v>285</v>
      </c>
      <c r="B102" s="19" t="s">
        <v>266</v>
      </c>
      <c r="C102" s="19">
        <v>31287</v>
      </c>
      <c r="D102" s="21">
        <v>1780856.04</v>
      </c>
      <c r="E102" s="14">
        <f t="shared" si="9"/>
        <v>71</v>
      </c>
      <c r="F102" s="22">
        <f t="shared" si="10"/>
        <v>0.74001715870399032</v>
      </c>
      <c r="G102" s="14" t="str">
        <f t="shared" si="11"/>
        <v>A</v>
      </c>
    </row>
    <row r="103" spans="1:7" x14ac:dyDescent="0.3">
      <c r="A103" s="19" t="s">
        <v>287</v>
      </c>
      <c r="B103" s="19" t="s">
        <v>266</v>
      </c>
      <c r="C103" s="19">
        <v>66855</v>
      </c>
      <c r="D103" s="21">
        <v>4315490.25</v>
      </c>
      <c r="E103" s="14">
        <f t="shared" si="9"/>
        <v>13</v>
      </c>
      <c r="F103" s="22">
        <f t="shared" si="10"/>
        <v>0.22928833645443242</v>
      </c>
      <c r="G103" s="14" t="str">
        <f t="shared" si="11"/>
        <v>A</v>
      </c>
    </row>
    <row r="104" spans="1:7" x14ac:dyDescent="0.3">
      <c r="A104" s="19" t="s">
        <v>289</v>
      </c>
      <c r="B104" s="19" t="s">
        <v>266</v>
      </c>
      <c r="C104" s="19">
        <v>24671</v>
      </c>
      <c r="D104" s="21">
        <v>1383549.68</v>
      </c>
      <c r="E104" s="14">
        <f t="shared" si="9"/>
        <v>89</v>
      </c>
      <c r="F104" s="22">
        <f t="shared" si="10"/>
        <v>0.83218569914343421</v>
      </c>
      <c r="G104" s="14" t="str">
        <f t="shared" si="11"/>
        <v>B</v>
      </c>
    </row>
    <row r="105" spans="1:7" x14ac:dyDescent="0.3">
      <c r="A105" s="19" t="s">
        <v>291</v>
      </c>
      <c r="B105" s="19" t="s">
        <v>266</v>
      </c>
      <c r="C105" s="19">
        <v>30231</v>
      </c>
      <c r="D105" s="21">
        <v>1016970.84</v>
      </c>
      <c r="E105" s="14">
        <f t="shared" si="9"/>
        <v>108</v>
      </c>
      <c r="F105" s="22">
        <f t="shared" si="10"/>
        <v>0.9078968823385084</v>
      </c>
      <c r="G105" s="14" t="str">
        <f t="shared" si="11"/>
        <v>B</v>
      </c>
    </row>
    <row r="106" spans="1:7" x14ac:dyDescent="0.3">
      <c r="A106" s="19" t="s">
        <v>293</v>
      </c>
      <c r="B106" s="19" t="s">
        <v>266</v>
      </c>
      <c r="C106" s="19">
        <v>13894</v>
      </c>
      <c r="D106" s="21">
        <v>434743.26</v>
      </c>
      <c r="E106" s="14">
        <f t="shared" si="9"/>
        <v>140</v>
      </c>
      <c r="F106" s="22">
        <f t="shared" si="10"/>
        <v>0.98725225102341729</v>
      </c>
      <c r="G106" s="14" t="str">
        <f t="shared" si="11"/>
        <v>C</v>
      </c>
    </row>
    <row r="107" spans="1:7" x14ac:dyDescent="0.3">
      <c r="A107" s="19" t="s">
        <v>295</v>
      </c>
      <c r="B107" s="19" t="s">
        <v>266</v>
      </c>
      <c r="C107" s="19">
        <v>49595</v>
      </c>
      <c r="D107" s="21">
        <v>1696149</v>
      </c>
      <c r="E107" s="14">
        <f t="shared" si="9"/>
        <v>75</v>
      </c>
      <c r="F107" s="22">
        <f t="shared" si="10"/>
        <v>0.76266020196170825</v>
      </c>
      <c r="G107" s="14" t="str">
        <f t="shared" si="11"/>
        <v>A</v>
      </c>
    </row>
    <row r="108" spans="1:7" x14ac:dyDescent="0.3">
      <c r="A108" s="19" t="s">
        <v>298</v>
      </c>
      <c r="B108" s="19" t="s">
        <v>266</v>
      </c>
      <c r="C108" s="19">
        <v>50099</v>
      </c>
      <c r="D108" s="21">
        <v>679342.44</v>
      </c>
      <c r="E108" s="14">
        <f t="shared" si="9"/>
        <v>131</v>
      </c>
      <c r="F108" s="22">
        <f t="shared" si="10"/>
        <v>0.97208159712549103</v>
      </c>
      <c r="G108" s="14" t="str">
        <f t="shared" si="11"/>
        <v>C</v>
      </c>
    </row>
    <row r="109" spans="1:7" x14ac:dyDescent="0.3">
      <c r="A109" s="19" t="s">
        <v>300</v>
      </c>
      <c r="B109" s="19" t="s">
        <v>266</v>
      </c>
      <c r="C109" s="19">
        <v>25090</v>
      </c>
      <c r="D109" s="21">
        <v>384127.9</v>
      </c>
      <c r="E109" s="14">
        <f t="shared" si="9"/>
        <v>149</v>
      </c>
      <c r="F109" s="22">
        <f t="shared" si="10"/>
        <v>0.99916533822766984</v>
      </c>
      <c r="G109" s="14" t="str">
        <f t="shared" si="11"/>
        <v>C</v>
      </c>
    </row>
    <row r="110" spans="1:7" x14ac:dyDescent="0.3">
      <c r="A110" s="19" t="s">
        <v>302</v>
      </c>
      <c r="B110" s="19" t="s">
        <v>266</v>
      </c>
      <c r="C110" s="19">
        <v>47117</v>
      </c>
      <c r="D110" s="21">
        <v>886270.77</v>
      </c>
      <c r="E110" s="14">
        <f t="shared" si="9"/>
        <v>119</v>
      </c>
      <c r="F110" s="22">
        <f t="shared" si="10"/>
        <v>0.94158036413601498</v>
      </c>
      <c r="G110" s="14" t="str">
        <f t="shared" si="11"/>
        <v>B</v>
      </c>
    </row>
    <row r="111" spans="1:7" x14ac:dyDescent="0.3">
      <c r="A111" s="19" t="s">
        <v>304</v>
      </c>
      <c r="B111" s="19" t="s">
        <v>266</v>
      </c>
      <c r="C111" s="19">
        <v>31898</v>
      </c>
      <c r="D111" s="21">
        <v>711006.42</v>
      </c>
      <c r="E111" s="14">
        <f t="shared" si="9"/>
        <v>130</v>
      </c>
      <c r="F111" s="22">
        <f t="shared" si="10"/>
        <v>0.96986940483116479</v>
      </c>
      <c r="G111" s="14" t="str">
        <f t="shared" si="11"/>
        <v>C</v>
      </c>
    </row>
    <row r="112" spans="1:7" x14ac:dyDescent="0.3">
      <c r="A112" s="19" t="s">
        <v>306</v>
      </c>
      <c r="B112" s="19" t="s">
        <v>266</v>
      </c>
      <c r="C112" s="19">
        <v>23486</v>
      </c>
      <c r="D112" s="21">
        <v>762590.42</v>
      </c>
      <c r="E112" s="14">
        <f t="shared" si="9"/>
        <v>127</v>
      </c>
      <c r="F112" s="22">
        <f t="shared" si="10"/>
        <v>0.96276708775773656</v>
      </c>
      <c r="G112" s="14" t="str">
        <f t="shared" si="11"/>
        <v>C</v>
      </c>
    </row>
    <row r="113" spans="1:7" x14ac:dyDescent="0.3">
      <c r="A113" s="19" t="s">
        <v>308</v>
      </c>
      <c r="B113" s="19" t="s">
        <v>266</v>
      </c>
      <c r="C113" s="19">
        <v>22607</v>
      </c>
      <c r="D113" s="21">
        <v>434506.54</v>
      </c>
      <c r="E113" s="14">
        <f t="shared" si="9"/>
        <v>141</v>
      </c>
      <c r="F113" s="22">
        <f t="shared" si="10"/>
        <v>0.9886671663342026</v>
      </c>
      <c r="G113" s="14" t="str">
        <f t="shared" si="11"/>
        <v>C</v>
      </c>
    </row>
    <row r="114" spans="1:7" x14ac:dyDescent="0.3">
      <c r="A114" s="19" t="s">
        <v>310</v>
      </c>
      <c r="B114" s="19" t="s">
        <v>266</v>
      </c>
      <c r="C114" s="19">
        <v>28421</v>
      </c>
      <c r="D114" s="21">
        <v>1129734.75</v>
      </c>
      <c r="E114" s="14">
        <f t="shared" si="9"/>
        <v>104</v>
      </c>
      <c r="F114" s="22">
        <f t="shared" si="10"/>
        <v>0.8939603748731737</v>
      </c>
      <c r="G114" s="14" t="str">
        <f t="shared" si="11"/>
        <v>B</v>
      </c>
    </row>
    <row r="115" spans="1:7" x14ac:dyDescent="0.3">
      <c r="A115" s="19" t="s">
        <v>312</v>
      </c>
      <c r="B115" s="19" t="s">
        <v>266</v>
      </c>
      <c r="C115" s="19">
        <v>44122</v>
      </c>
      <c r="D115" s="21">
        <v>844936.3</v>
      </c>
      <c r="E115" s="14">
        <f t="shared" si="9"/>
        <v>121</v>
      </c>
      <c r="F115" s="22">
        <f t="shared" si="10"/>
        <v>0.94716641266060553</v>
      </c>
      <c r="G115" s="14" t="str">
        <f t="shared" si="11"/>
        <v>B</v>
      </c>
    </row>
    <row r="116" spans="1:7" x14ac:dyDescent="0.3">
      <c r="A116" s="19" t="s">
        <v>314</v>
      </c>
      <c r="B116" s="19" t="s">
        <v>266</v>
      </c>
      <c r="C116" s="19">
        <v>34404</v>
      </c>
      <c r="D116" s="21">
        <v>1209988.68</v>
      </c>
      <c r="E116" s="14">
        <f t="shared" si="9"/>
        <v>100</v>
      </c>
      <c r="F116" s="22">
        <f t="shared" si="10"/>
        <v>0.87896080667049648</v>
      </c>
      <c r="G116" s="14" t="str">
        <f t="shared" si="11"/>
        <v>B</v>
      </c>
    </row>
    <row r="117" spans="1:7" x14ac:dyDescent="0.3">
      <c r="A117" s="19" t="s">
        <v>316</v>
      </c>
      <c r="B117" s="19" t="s">
        <v>266</v>
      </c>
      <c r="C117" s="19">
        <v>47878</v>
      </c>
      <c r="D117" s="21">
        <v>1221846.56</v>
      </c>
      <c r="E117" s="14">
        <f t="shared" si="9"/>
        <v>99</v>
      </c>
      <c r="F117" s="22">
        <f t="shared" si="10"/>
        <v>0.87502063235411176</v>
      </c>
      <c r="G117" s="14" t="str">
        <f t="shared" si="11"/>
        <v>B</v>
      </c>
    </row>
    <row r="118" spans="1:7" x14ac:dyDescent="0.3">
      <c r="A118" s="19" t="s">
        <v>318</v>
      </c>
      <c r="B118" s="19" t="s">
        <v>266</v>
      </c>
      <c r="C118" s="19">
        <v>28079</v>
      </c>
      <c r="D118" s="21">
        <v>633462.24</v>
      </c>
      <c r="E118" s="14">
        <f t="shared" si="9"/>
        <v>132</v>
      </c>
      <c r="F118" s="22">
        <f t="shared" si="10"/>
        <v>0.97414438638104617</v>
      </c>
      <c r="G118" s="14" t="str">
        <f t="shared" si="11"/>
        <v>C</v>
      </c>
    </row>
    <row r="119" spans="1:7" x14ac:dyDescent="0.3">
      <c r="A119" s="19" t="s">
        <v>320</v>
      </c>
      <c r="B119" s="19" t="s">
        <v>266</v>
      </c>
      <c r="C119" s="19">
        <v>47809</v>
      </c>
      <c r="D119" s="21">
        <v>833310.87</v>
      </c>
      <c r="E119" s="14">
        <f t="shared" si="9"/>
        <v>122</v>
      </c>
      <c r="F119" s="22">
        <f t="shared" si="10"/>
        <v>0.94987998357396153</v>
      </c>
      <c r="G119" s="14" t="str">
        <f t="shared" si="11"/>
        <v>B</v>
      </c>
    </row>
    <row r="120" spans="1:7" x14ac:dyDescent="0.3">
      <c r="A120" s="19" t="s">
        <v>322</v>
      </c>
      <c r="B120" s="19" t="s">
        <v>266</v>
      </c>
      <c r="C120" s="19">
        <v>22604</v>
      </c>
      <c r="D120" s="21">
        <v>992993.72</v>
      </c>
      <c r="E120" s="14">
        <f t="shared" si="9"/>
        <v>110</v>
      </c>
      <c r="F120" s="22">
        <f t="shared" si="10"/>
        <v>0.91437718302161652</v>
      </c>
      <c r="G120" s="14" t="str">
        <f t="shared" si="11"/>
        <v>B</v>
      </c>
    </row>
    <row r="121" spans="1:7" x14ac:dyDescent="0.3">
      <c r="A121" s="19" t="s">
        <v>324</v>
      </c>
      <c r="B121" s="19" t="s">
        <v>266</v>
      </c>
      <c r="C121" s="19">
        <v>95255</v>
      </c>
      <c r="D121" s="21">
        <v>5655289.3499999996</v>
      </c>
      <c r="E121" s="14">
        <f t="shared" si="9"/>
        <v>6</v>
      </c>
      <c r="F121" s="22">
        <f t="shared" si="10"/>
        <v>0.12162841693780733</v>
      </c>
      <c r="G121" s="14" t="str">
        <f t="shared" si="11"/>
        <v>A</v>
      </c>
    </row>
    <row r="122" spans="1:7" x14ac:dyDescent="0.3">
      <c r="A122" s="19" t="s">
        <v>327</v>
      </c>
      <c r="B122" s="19" t="s">
        <v>329</v>
      </c>
      <c r="C122" s="19">
        <v>4233</v>
      </c>
      <c r="D122" s="21">
        <v>1159926.6599999999</v>
      </c>
      <c r="E122" s="14">
        <f t="shared" si="9"/>
        <v>102</v>
      </c>
      <c r="F122" s="22">
        <f t="shared" si="10"/>
        <v>0.88657765019638246</v>
      </c>
      <c r="G122" s="14" t="str">
        <f t="shared" si="11"/>
        <v>B</v>
      </c>
    </row>
    <row r="123" spans="1:7" x14ac:dyDescent="0.3">
      <c r="A123" s="19" t="s">
        <v>331</v>
      </c>
      <c r="B123" s="19" t="s">
        <v>329</v>
      </c>
      <c r="C123" s="19">
        <v>5882</v>
      </c>
      <c r="D123" s="21">
        <v>1587198.88</v>
      </c>
      <c r="E123" s="14">
        <f t="shared" si="9"/>
        <v>79</v>
      </c>
      <c r="F123" s="22">
        <f t="shared" si="10"/>
        <v>0.78370013516518011</v>
      </c>
      <c r="G123" s="14" t="str">
        <f t="shared" si="11"/>
        <v>A</v>
      </c>
    </row>
    <row r="124" spans="1:7" x14ac:dyDescent="0.3">
      <c r="A124" s="19" t="s">
        <v>333</v>
      </c>
      <c r="B124" s="19" t="s">
        <v>329</v>
      </c>
      <c r="C124" s="19">
        <v>16539</v>
      </c>
      <c r="D124" s="21">
        <v>7534506.8399999999</v>
      </c>
      <c r="E124" s="14">
        <f t="shared" si="9"/>
        <v>1</v>
      </c>
      <c r="F124" s="22">
        <f t="shared" si="10"/>
        <v>2.4535163698879429E-2</v>
      </c>
      <c r="G124" s="14" t="str">
        <f t="shared" si="11"/>
        <v>A</v>
      </c>
    </row>
    <row r="125" spans="1:7" x14ac:dyDescent="0.3">
      <c r="A125" s="19" t="s">
        <v>335</v>
      </c>
      <c r="B125" s="19" t="s">
        <v>329</v>
      </c>
      <c r="C125" s="19">
        <v>4668</v>
      </c>
      <c r="D125" s="21">
        <v>1923916.2</v>
      </c>
      <c r="E125" s="14">
        <f t="shared" si="9"/>
        <v>63</v>
      </c>
      <c r="F125" s="22">
        <f t="shared" si="10"/>
        <v>0.6918752538553099</v>
      </c>
      <c r="G125" s="14" t="str">
        <f t="shared" si="11"/>
        <v>A</v>
      </c>
    </row>
    <row r="126" spans="1:7" x14ac:dyDescent="0.3">
      <c r="A126" s="19" t="s">
        <v>337</v>
      </c>
      <c r="B126" s="19" t="s">
        <v>329</v>
      </c>
      <c r="C126" s="19">
        <v>4874</v>
      </c>
      <c r="D126" s="21">
        <v>1239019.54</v>
      </c>
      <c r="E126" s="14">
        <f t="shared" si="9"/>
        <v>98</v>
      </c>
      <c r="F126" s="22">
        <f t="shared" si="10"/>
        <v>0.87104184435894261</v>
      </c>
      <c r="G126" s="14" t="str">
        <f t="shared" si="11"/>
        <v>B</v>
      </c>
    </row>
    <row r="127" spans="1:7" x14ac:dyDescent="0.3">
      <c r="A127" s="19" t="s">
        <v>339</v>
      </c>
      <c r="B127" s="19" t="s">
        <v>329</v>
      </c>
      <c r="C127" s="19">
        <v>4813</v>
      </c>
      <c r="D127" s="21">
        <v>2531493.61</v>
      </c>
      <c r="E127" s="14">
        <f t="shared" si="9"/>
        <v>42</v>
      </c>
      <c r="F127" s="22">
        <f t="shared" si="10"/>
        <v>0.54126351785695037</v>
      </c>
      <c r="G127" s="14" t="str">
        <f t="shared" si="11"/>
        <v>A</v>
      </c>
    </row>
    <row r="128" spans="1:7" x14ac:dyDescent="0.3">
      <c r="A128" s="19" t="s">
        <v>341</v>
      </c>
      <c r="B128" s="19" t="s">
        <v>329</v>
      </c>
      <c r="C128" s="19">
        <v>5423</v>
      </c>
      <c r="D128" s="21">
        <v>2825274.54</v>
      </c>
      <c r="E128" s="14">
        <f t="shared" si="9"/>
        <v>36</v>
      </c>
      <c r="F128" s="22">
        <f t="shared" si="10"/>
        <v>0.48909039135296267</v>
      </c>
      <c r="G128" s="14" t="str">
        <f t="shared" si="11"/>
        <v>A</v>
      </c>
    </row>
    <row r="129" spans="1:7" x14ac:dyDescent="0.3">
      <c r="A129" s="19" t="s">
        <v>343</v>
      </c>
      <c r="B129" s="19" t="s">
        <v>329</v>
      </c>
      <c r="C129" s="19">
        <v>4961</v>
      </c>
      <c r="D129" s="21">
        <v>1793103.84</v>
      </c>
      <c r="E129" s="14">
        <f t="shared" si="9"/>
        <v>70</v>
      </c>
      <c r="F129" s="22">
        <f t="shared" si="10"/>
        <v>0.73421802740138498</v>
      </c>
      <c r="G129" s="14" t="str">
        <f t="shared" si="11"/>
        <v>A</v>
      </c>
    </row>
    <row r="130" spans="1:7" x14ac:dyDescent="0.3">
      <c r="A130" s="19" t="s">
        <v>345</v>
      </c>
      <c r="B130" s="19" t="s">
        <v>329</v>
      </c>
      <c r="C130" s="19">
        <v>5426</v>
      </c>
      <c r="D130" s="21">
        <v>2392757.48</v>
      </c>
      <c r="E130" s="14">
        <f t="shared" ref="E130:E161" si="12">RANK(D130,$D$2:$D$151)</f>
        <v>48</v>
      </c>
      <c r="F130" s="22">
        <f t="shared" ref="F130:F161" si="13">SUMPRODUCT(($E$2:$E$151&lt;=E130)*$D$2:$D$151)/SUM($D$2:$D$151)</f>
        <v>0.58896867172342482</v>
      </c>
      <c r="G130" s="14" t="str">
        <f t="shared" ref="G130:G161" si="14">IF(F130&lt;=0.8,"A",IF(F130&lt;=0.95,"B","C"))</f>
        <v>A</v>
      </c>
    </row>
    <row r="131" spans="1:7" x14ac:dyDescent="0.3">
      <c r="A131" s="19" t="s">
        <v>347</v>
      </c>
      <c r="B131" s="19" t="s">
        <v>329</v>
      </c>
      <c r="C131" s="19">
        <v>3683</v>
      </c>
      <c r="D131" s="21">
        <v>1836417.46</v>
      </c>
      <c r="E131" s="14">
        <f t="shared" si="12"/>
        <v>68</v>
      </c>
      <c r="F131" s="22">
        <f t="shared" si="13"/>
        <v>0.7224640369694959</v>
      </c>
      <c r="G131" s="14" t="str">
        <f t="shared" si="14"/>
        <v>A</v>
      </c>
    </row>
    <row r="132" spans="1:7" x14ac:dyDescent="0.3">
      <c r="A132" s="19" t="s">
        <v>349</v>
      </c>
      <c r="B132" s="19" t="s">
        <v>329</v>
      </c>
      <c r="C132" s="19">
        <v>10545</v>
      </c>
      <c r="D132" s="21">
        <v>4429532.7</v>
      </c>
      <c r="E132" s="14">
        <f t="shared" si="12"/>
        <v>12</v>
      </c>
      <c r="F132" s="22">
        <f t="shared" si="13"/>
        <v>0.21523549106280651</v>
      </c>
      <c r="G132" s="14" t="str">
        <f t="shared" si="14"/>
        <v>A</v>
      </c>
    </row>
    <row r="133" spans="1:7" x14ac:dyDescent="0.3">
      <c r="A133" s="19" t="s">
        <v>351</v>
      </c>
      <c r="B133" s="19" t="s">
        <v>329</v>
      </c>
      <c r="C133" s="19">
        <v>4407</v>
      </c>
      <c r="D133" s="21">
        <v>1768044.33</v>
      </c>
      <c r="E133" s="14">
        <f t="shared" si="12"/>
        <v>72</v>
      </c>
      <c r="F133" s="22">
        <f t="shared" si="13"/>
        <v>0.74577457030167171</v>
      </c>
      <c r="G133" s="14" t="str">
        <f t="shared" si="14"/>
        <v>A</v>
      </c>
    </row>
    <row r="134" spans="1:7" x14ac:dyDescent="0.3">
      <c r="A134" s="19" t="s">
        <v>353</v>
      </c>
      <c r="B134" s="19" t="s">
        <v>329</v>
      </c>
      <c r="C134" s="19">
        <v>8192</v>
      </c>
      <c r="D134" s="21">
        <v>4096983.04</v>
      </c>
      <c r="E134" s="14">
        <f t="shared" si="12"/>
        <v>17</v>
      </c>
      <c r="F134" s="22">
        <f t="shared" si="13"/>
        <v>0.28435999047805055</v>
      </c>
      <c r="G134" s="14" t="str">
        <f t="shared" si="14"/>
        <v>A</v>
      </c>
    </row>
    <row r="135" spans="1:7" x14ac:dyDescent="0.3">
      <c r="A135" s="19" t="s">
        <v>355</v>
      </c>
      <c r="B135" s="19" t="s">
        <v>329</v>
      </c>
      <c r="C135" s="19">
        <v>3704</v>
      </c>
      <c r="D135" s="21">
        <v>997042.72</v>
      </c>
      <c r="E135" s="14">
        <f t="shared" si="12"/>
        <v>109</v>
      </c>
      <c r="F135" s="22">
        <f t="shared" si="13"/>
        <v>0.91114362520694758</v>
      </c>
      <c r="G135" s="14" t="str">
        <f t="shared" si="14"/>
        <v>B</v>
      </c>
    </row>
    <row r="136" spans="1:7" x14ac:dyDescent="0.3">
      <c r="A136" s="19" t="s">
        <v>357</v>
      </c>
      <c r="B136" s="19" t="s">
        <v>329</v>
      </c>
      <c r="C136" s="19">
        <v>6920</v>
      </c>
      <c r="D136" s="21">
        <v>3065490.8</v>
      </c>
      <c r="E136" s="14">
        <f t="shared" si="12"/>
        <v>32</v>
      </c>
      <c r="F136" s="22">
        <f t="shared" si="13"/>
        <v>0.45158932615024816</v>
      </c>
      <c r="G136" s="14" t="str">
        <f t="shared" si="14"/>
        <v>A</v>
      </c>
    </row>
    <row r="137" spans="1:7" x14ac:dyDescent="0.3">
      <c r="A137" s="19" t="s">
        <v>359</v>
      </c>
      <c r="B137" s="19" t="s">
        <v>329</v>
      </c>
      <c r="C137" s="19">
        <v>8770</v>
      </c>
      <c r="D137" s="21">
        <v>3484057.9</v>
      </c>
      <c r="E137" s="14">
        <f t="shared" si="12"/>
        <v>23</v>
      </c>
      <c r="F137" s="22">
        <f t="shared" si="13"/>
        <v>0.35788663420417766</v>
      </c>
      <c r="G137" s="14" t="str">
        <f t="shared" si="14"/>
        <v>A</v>
      </c>
    </row>
    <row r="138" spans="1:7" x14ac:dyDescent="0.3">
      <c r="A138" s="19" t="s">
        <v>361</v>
      </c>
      <c r="B138" s="19" t="s">
        <v>329</v>
      </c>
      <c r="C138" s="19">
        <v>5727</v>
      </c>
      <c r="D138" s="21">
        <v>2592212.0099999998</v>
      </c>
      <c r="E138" s="14">
        <f t="shared" si="12"/>
        <v>41</v>
      </c>
      <c r="F138" s="22">
        <f t="shared" si="13"/>
        <v>0.53302003073258042</v>
      </c>
      <c r="G138" s="14" t="str">
        <f t="shared" si="14"/>
        <v>A</v>
      </c>
    </row>
    <row r="139" spans="1:7" x14ac:dyDescent="0.3">
      <c r="A139" s="19" t="s">
        <v>363</v>
      </c>
      <c r="B139" s="19" t="s">
        <v>329</v>
      </c>
      <c r="C139" s="19">
        <v>3906</v>
      </c>
      <c r="D139" s="21">
        <v>1137427.2</v>
      </c>
      <c r="E139" s="14">
        <f t="shared" si="12"/>
        <v>103</v>
      </c>
      <c r="F139" s="22">
        <f t="shared" si="13"/>
        <v>0.89028153727753845</v>
      </c>
      <c r="G139" s="14" t="str">
        <f t="shared" si="14"/>
        <v>B</v>
      </c>
    </row>
    <row r="140" spans="1:7" x14ac:dyDescent="0.3">
      <c r="A140" s="19" t="s">
        <v>365</v>
      </c>
      <c r="B140" s="19" t="s">
        <v>329</v>
      </c>
      <c r="C140" s="19">
        <v>8190</v>
      </c>
      <c r="D140" s="21">
        <v>3624238.8</v>
      </c>
      <c r="E140" s="14">
        <f t="shared" si="12"/>
        <v>21</v>
      </c>
      <c r="F140" s="22">
        <f t="shared" si="13"/>
        <v>0.33482563812563926</v>
      </c>
      <c r="G140" s="14" t="str">
        <f t="shared" si="14"/>
        <v>A</v>
      </c>
    </row>
    <row r="141" spans="1:7" x14ac:dyDescent="0.3">
      <c r="A141" s="19" t="s">
        <v>367</v>
      </c>
      <c r="B141" s="19" t="s">
        <v>329</v>
      </c>
      <c r="C141" s="19">
        <v>12206</v>
      </c>
      <c r="D141" s="21">
        <v>5465602.6799999997</v>
      </c>
      <c r="E141" s="14">
        <f t="shared" si="12"/>
        <v>7</v>
      </c>
      <c r="F141" s="22">
        <f t="shared" si="13"/>
        <v>0.13942645724947211</v>
      </c>
      <c r="G141" s="14" t="str">
        <f t="shared" si="14"/>
        <v>A</v>
      </c>
    </row>
    <row r="142" spans="1:7" x14ac:dyDescent="0.3">
      <c r="A142" s="19" t="s">
        <v>369</v>
      </c>
      <c r="B142" s="19" t="s">
        <v>329</v>
      </c>
      <c r="C142" s="19">
        <v>4910</v>
      </c>
      <c r="D142" s="21">
        <v>1726847</v>
      </c>
      <c r="E142" s="14">
        <f t="shared" si="12"/>
        <v>74</v>
      </c>
      <c r="F142" s="22">
        <f t="shared" si="13"/>
        <v>0.75713690836646474</v>
      </c>
      <c r="G142" s="14" t="str">
        <f t="shared" si="14"/>
        <v>A</v>
      </c>
    </row>
    <row r="143" spans="1:7" x14ac:dyDescent="0.3">
      <c r="A143" s="19" t="s">
        <v>371</v>
      </c>
      <c r="B143" s="19" t="s">
        <v>329</v>
      </c>
      <c r="C143" s="19">
        <v>6236</v>
      </c>
      <c r="D143" s="21">
        <v>2769844.12</v>
      </c>
      <c r="E143" s="14">
        <f t="shared" si="12"/>
        <v>38</v>
      </c>
      <c r="F143" s="22">
        <f t="shared" si="13"/>
        <v>0.50713921978877718</v>
      </c>
      <c r="G143" s="14" t="str">
        <f t="shared" si="14"/>
        <v>A</v>
      </c>
    </row>
    <row r="144" spans="1:7" x14ac:dyDescent="0.3">
      <c r="A144" s="19" t="s">
        <v>373</v>
      </c>
      <c r="B144" s="19" t="s">
        <v>329</v>
      </c>
      <c r="C144" s="19">
        <v>3855</v>
      </c>
      <c r="D144" s="21">
        <v>1346705.7</v>
      </c>
      <c r="E144" s="14">
        <f t="shared" si="12"/>
        <v>94</v>
      </c>
      <c r="F144" s="22">
        <f t="shared" si="13"/>
        <v>0.85443838802428407</v>
      </c>
      <c r="G144" s="14" t="str">
        <f t="shared" si="14"/>
        <v>B</v>
      </c>
    </row>
    <row r="145" spans="1:7" x14ac:dyDescent="0.3">
      <c r="A145" s="19" t="s">
        <v>375</v>
      </c>
      <c r="B145" s="19" t="s">
        <v>329</v>
      </c>
      <c r="C145" s="19">
        <v>6451</v>
      </c>
      <c r="D145" s="21">
        <v>2086317.91</v>
      </c>
      <c r="E145" s="14">
        <f t="shared" si="12"/>
        <v>58</v>
      </c>
      <c r="F145" s="22">
        <f t="shared" si="13"/>
        <v>0.65967386272642226</v>
      </c>
      <c r="G145" s="14" t="str">
        <f t="shared" si="14"/>
        <v>A</v>
      </c>
    </row>
    <row r="146" spans="1:7" x14ac:dyDescent="0.3">
      <c r="A146" s="19" t="s">
        <v>377</v>
      </c>
      <c r="B146" s="19" t="s">
        <v>329</v>
      </c>
      <c r="C146" s="19">
        <v>8704</v>
      </c>
      <c r="D146" s="21">
        <v>1179130.8799999999</v>
      </c>
      <c r="E146" s="14">
        <f t="shared" si="12"/>
        <v>101</v>
      </c>
      <c r="F146" s="22">
        <f t="shared" si="13"/>
        <v>0.88280049648398429</v>
      </c>
      <c r="G146" s="14" t="str">
        <f t="shared" si="14"/>
        <v>B</v>
      </c>
    </row>
    <row r="147" spans="1:7" x14ac:dyDescent="0.3">
      <c r="A147" s="19" t="s">
        <v>379</v>
      </c>
      <c r="B147" s="19" t="s">
        <v>329</v>
      </c>
      <c r="C147" s="19">
        <v>4180</v>
      </c>
      <c r="D147" s="21">
        <v>904092.2</v>
      </c>
      <c r="E147" s="14">
        <f t="shared" si="12"/>
        <v>117</v>
      </c>
      <c r="F147" s="22">
        <f t="shared" si="13"/>
        <v>0.9357732492165961</v>
      </c>
      <c r="G147" s="14" t="str">
        <f t="shared" si="14"/>
        <v>B</v>
      </c>
    </row>
    <row r="148" spans="1:7" x14ac:dyDescent="0.3">
      <c r="A148" s="19" t="s">
        <v>381</v>
      </c>
      <c r="B148" s="19" t="s">
        <v>329</v>
      </c>
      <c r="C148" s="19">
        <v>9294</v>
      </c>
      <c r="D148" s="21">
        <v>1490757.6</v>
      </c>
      <c r="E148" s="14">
        <f t="shared" si="12"/>
        <v>85</v>
      </c>
      <c r="F148" s="22">
        <f t="shared" si="13"/>
        <v>0.81355610588605909</v>
      </c>
      <c r="G148" s="14" t="str">
        <f t="shared" si="14"/>
        <v>B</v>
      </c>
    </row>
    <row r="149" spans="1:7" x14ac:dyDescent="0.3">
      <c r="A149" s="19" t="s">
        <v>383</v>
      </c>
      <c r="B149" s="19" t="s">
        <v>329</v>
      </c>
      <c r="C149" s="19">
        <v>3008</v>
      </c>
      <c r="D149" s="21">
        <v>1089106.56</v>
      </c>
      <c r="E149" s="14">
        <f t="shared" si="12"/>
        <v>106</v>
      </c>
      <c r="F149" s="22">
        <f t="shared" si="13"/>
        <v>0.90116056561998226</v>
      </c>
      <c r="G149" s="14" t="str">
        <f t="shared" si="14"/>
        <v>B</v>
      </c>
    </row>
    <row r="150" spans="1:7" x14ac:dyDescent="0.3">
      <c r="A150" s="19" t="s">
        <v>385</v>
      </c>
      <c r="B150" s="19" t="s">
        <v>329</v>
      </c>
      <c r="C150" s="19">
        <v>11354</v>
      </c>
      <c r="D150" s="21">
        <v>3095100.4</v>
      </c>
      <c r="E150" s="14">
        <f t="shared" si="12"/>
        <v>30</v>
      </c>
      <c r="F150" s="22">
        <f t="shared" si="13"/>
        <v>0.43161632775836478</v>
      </c>
      <c r="G150" s="14" t="str">
        <f t="shared" si="14"/>
        <v>A</v>
      </c>
    </row>
    <row r="151" spans="1:7" x14ac:dyDescent="0.3">
      <c r="A151" s="19" t="s">
        <v>387</v>
      </c>
      <c r="B151" s="19" t="s">
        <v>329</v>
      </c>
      <c r="C151" s="19">
        <v>9635</v>
      </c>
      <c r="D151" s="21">
        <v>2396706.25</v>
      </c>
      <c r="E151" s="14">
        <f t="shared" si="12"/>
        <v>47</v>
      </c>
      <c r="F151" s="22">
        <f t="shared" si="13"/>
        <v>0.58117696116954365</v>
      </c>
      <c r="G151" s="14" t="str">
        <f t="shared" si="14"/>
        <v>A</v>
      </c>
    </row>
  </sheetData>
  <autoFilter ref="A1:G151" xr:uid="{00000000-0009-0000-0000-000004000000}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1"/>
  <sheetViews>
    <sheetView zoomScaleNormal="100" workbookViewId="0">
      <pane ySplit="1" topLeftCell="A26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1" customWidth="1"/>
    <col min="3" max="3" width="15" customWidth="1"/>
    <col min="4" max="5" width="14" customWidth="1"/>
    <col min="6" max="6" width="13" customWidth="1"/>
    <col min="7" max="7" width="15" customWidth="1"/>
    <col min="8" max="8" width="16" customWidth="1"/>
    <col min="9" max="9" width="15" customWidth="1"/>
    <col min="10" max="10" width="13" customWidth="1"/>
    <col min="11" max="11" width="15" customWidth="1"/>
    <col min="12" max="13" width="17" customWidth="1"/>
  </cols>
  <sheetData>
    <row r="1" spans="1:15" ht="26.4" x14ac:dyDescent="0.3">
      <c r="A1" s="18" t="s">
        <v>44</v>
      </c>
      <c r="B1" s="18" t="s">
        <v>397</v>
      </c>
      <c r="C1" s="18" t="s">
        <v>390</v>
      </c>
      <c r="D1" s="18" t="s">
        <v>406</v>
      </c>
      <c r="E1" s="18" t="s">
        <v>49</v>
      </c>
      <c r="F1" s="18" t="s">
        <v>407</v>
      </c>
      <c r="G1" s="18" t="s">
        <v>408</v>
      </c>
      <c r="H1" s="18" t="s">
        <v>409</v>
      </c>
      <c r="I1" s="18" t="s">
        <v>410</v>
      </c>
      <c r="J1" s="18" t="s">
        <v>411</v>
      </c>
      <c r="K1" s="18" t="s">
        <v>51</v>
      </c>
      <c r="L1" s="18" t="s">
        <v>412</v>
      </c>
      <c r="M1" s="18" t="s">
        <v>413</v>
      </c>
      <c r="O1" s="17" t="s">
        <v>414</v>
      </c>
    </row>
    <row r="2" spans="1:15" x14ac:dyDescent="0.3">
      <c r="A2" s="14" t="str">
        <f>SKU_Master!A2</f>
        <v>MDLZ0001</v>
      </c>
      <c r="B2" s="14" t="str">
        <f>ABC_Analysis!G2</f>
        <v>A</v>
      </c>
      <c r="C2" s="14">
        <f>Demand_Stats!C2</f>
        <v>160.52000000000001</v>
      </c>
      <c r="D2" s="14">
        <f>Demand_Stats!D2</f>
        <v>89.01</v>
      </c>
      <c r="E2" s="14">
        <f>SKU_Master!F2</f>
        <v>2</v>
      </c>
      <c r="F2" s="14">
        <f t="shared" ref="F2:F33" si="0">IF(B2="A",2.05,IF(B2="B",1.65,1.28))</f>
        <v>2.0499999999999998</v>
      </c>
      <c r="G2" s="14">
        <f t="shared" ref="G2:G33" si="1">ROUND(F2*D2*SQRT(E2),1)</f>
        <v>258.10000000000002</v>
      </c>
      <c r="H2" s="14">
        <f t="shared" ref="H2:H33" si="2">ROUND((C2*E2)+G2,1)</f>
        <v>579.1</v>
      </c>
      <c r="I2" s="19">
        <v>113</v>
      </c>
      <c r="J2" s="14" t="str">
        <f t="shared" ref="J2:J33" si="3">IF(I2&lt;=H2,"REORDER NOW","OK")</f>
        <v>REORDER NOW</v>
      </c>
      <c r="K2" s="14">
        <f>SKU_Master!H2</f>
        <v>36</v>
      </c>
      <c r="L2" s="14">
        <f t="shared" ref="L2:L33" si="4">MAX(0,(H2+C2*10)-I2)</f>
        <v>2071.3000000000002</v>
      </c>
      <c r="M2" s="14">
        <f t="shared" ref="M2:M33" si="5">IF(K2=0,0,ROUNDUP(L2/K2,0))</f>
        <v>58</v>
      </c>
    </row>
    <row r="3" spans="1:15" x14ac:dyDescent="0.3">
      <c r="A3" s="14" t="str">
        <f>SKU_Master!A3</f>
        <v>MDLZ0002</v>
      </c>
      <c r="B3" s="14" t="str">
        <f>ABC_Analysis!G3</f>
        <v>B</v>
      </c>
      <c r="C3" s="14">
        <f>Demand_Stats!C3</f>
        <v>66.48</v>
      </c>
      <c r="D3" s="14">
        <f>Demand_Stats!D3</f>
        <v>43.63</v>
      </c>
      <c r="E3" s="14">
        <f>SKU_Master!F3</f>
        <v>7</v>
      </c>
      <c r="F3" s="14">
        <f t="shared" si="0"/>
        <v>1.65</v>
      </c>
      <c r="G3" s="14">
        <f t="shared" si="1"/>
        <v>190.5</v>
      </c>
      <c r="H3" s="14">
        <f t="shared" si="2"/>
        <v>655.9</v>
      </c>
      <c r="I3" s="19">
        <v>1140</v>
      </c>
      <c r="J3" s="14" t="str">
        <f t="shared" si="3"/>
        <v>OK</v>
      </c>
      <c r="K3" s="14">
        <f>SKU_Master!H3</f>
        <v>36</v>
      </c>
      <c r="L3" s="14">
        <f t="shared" si="4"/>
        <v>180.70000000000005</v>
      </c>
      <c r="M3" s="14">
        <f t="shared" si="5"/>
        <v>6</v>
      </c>
    </row>
    <row r="4" spans="1:15" x14ac:dyDescent="0.3">
      <c r="A4" s="14" t="str">
        <f>SKU_Master!A4</f>
        <v>MDLZ0003</v>
      </c>
      <c r="B4" s="14" t="str">
        <f>ABC_Analysis!G4</f>
        <v>B</v>
      </c>
      <c r="C4" s="14">
        <f>Demand_Stats!C4</f>
        <v>65.13</v>
      </c>
      <c r="D4" s="14">
        <f>Demand_Stats!D4</f>
        <v>35.96</v>
      </c>
      <c r="E4" s="14">
        <f>SKU_Master!F4</f>
        <v>7</v>
      </c>
      <c r="F4" s="14">
        <f t="shared" si="0"/>
        <v>1.65</v>
      </c>
      <c r="G4" s="14">
        <f t="shared" si="1"/>
        <v>157</v>
      </c>
      <c r="H4" s="14">
        <f t="shared" si="2"/>
        <v>612.9</v>
      </c>
      <c r="I4" s="19">
        <v>131</v>
      </c>
      <c r="J4" s="14" t="str">
        <f t="shared" si="3"/>
        <v>REORDER NOW</v>
      </c>
      <c r="K4" s="14">
        <f>SKU_Master!H4</f>
        <v>24</v>
      </c>
      <c r="L4" s="14">
        <f t="shared" si="4"/>
        <v>1133.1999999999998</v>
      </c>
      <c r="M4" s="14">
        <f t="shared" si="5"/>
        <v>48</v>
      </c>
    </row>
    <row r="5" spans="1:15" x14ac:dyDescent="0.3">
      <c r="A5" s="14" t="str">
        <f>SKU_Master!A5</f>
        <v>MDLZ0004</v>
      </c>
      <c r="B5" s="14" t="str">
        <f>ABC_Analysis!G5</f>
        <v>B</v>
      </c>
      <c r="C5" s="14">
        <f>Demand_Stats!C5</f>
        <v>168.08</v>
      </c>
      <c r="D5" s="14">
        <f>Demand_Stats!D5</f>
        <v>70.849999999999994</v>
      </c>
      <c r="E5" s="14">
        <f>SKU_Master!F5</f>
        <v>10</v>
      </c>
      <c r="F5" s="14">
        <f t="shared" si="0"/>
        <v>1.65</v>
      </c>
      <c r="G5" s="14">
        <f t="shared" si="1"/>
        <v>369.7</v>
      </c>
      <c r="H5" s="14">
        <f t="shared" si="2"/>
        <v>2050.5</v>
      </c>
      <c r="I5" s="19">
        <v>2401</v>
      </c>
      <c r="J5" s="14" t="str">
        <f t="shared" si="3"/>
        <v>OK</v>
      </c>
      <c r="K5" s="14">
        <f>SKU_Master!H5</f>
        <v>24</v>
      </c>
      <c r="L5" s="14">
        <f t="shared" si="4"/>
        <v>1330.3000000000002</v>
      </c>
      <c r="M5" s="14">
        <f t="shared" si="5"/>
        <v>56</v>
      </c>
    </row>
    <row r="6" spans="1:15" x14ac:dyDescent="0.3">
      <c r="A6" s="14" t="str">
        <f>SKU_Master!A6</f>
        <v>MDLZ0005</v>
      </c>
      <c r="B6" s="14" t="str">
        <f>ABC_Analysis!G6</f>
        <v>A</v>
      </c>
      <c r="C6" s="14">
        <f>Demand_Stats!C6</f>
        <v>159.18</v>
      </c>
      <c r="D6" s="14">
        <f>Demand_Stats!D6</f>
        <v>70.14</v>
      </c>
      <c r="E6" s="14">
        <f>SKU_Master!F6</f>
        <v>14</v>
      </c>
      <c r="F6" s="14">
        <f t="shared" si="0"/>
        <v>2.0499999999999998</v>
      </c>
      <c r="G6" s="14">
        <f t="shared" si="1"/>
        <v>538</v>
      </c>
      <c r="H6" s="14">
        <f t="shared" si="2"/>
        <v>2766.5</v>
      </c>
      <c r="I6" s="19">
        <v>1142</v>
      </c>
      <c r="J6" s="14" t="str">
        <f t="shared" si="3"/>
        <v>REORDER NOW</v>
      </c>
      <c r="K6" s="14">
        <f>SKU_Master!H6</f>
        <v>36</v>
      </c>
      <c r="L6" s="14">
        <f t="shared" si="4"/>
        <v>3216.3</v>
      </c>
      <c r="M6" s="14">
        <f t="shared" si="5"/>
        <v>90</v>
      </c>
    </row>
    <row r="7" spans="1:15" x14ac:dyDescent="0.3">
      <c r="A7" s="14" t="str">
        <f>SKU_Master!A7</f>
        <v>MDLZ0006</v>
      </c>
      <c r="B7" s="14" t="str">
        <f>ABC_Analysis!G7</f>
        <v>B</v>
      </c>
      <c r="C7" s="14">
        <f>Demand_Stats!C7</f>
        <v>122.23</v>
      </c>
      <c r="D7" s="14">
        <f>Demand_Stats!D7</f>
        <v>53.02</v>
      </c>
      <c r="E7" s="14">
        <f>SKU_Master!F7</f>
        <v>2</v>
      </c>
      <c r="F7" s="14">
        <f t="shared" si="0"/>
        <v>1.65</v>
      </c>
      <c r="G7" s="14">
        <f t="shared" si="1"/>
        <v>123.7</v>
      </c>
      <c r="H7" s="14">
        <f t="shared" si="2"/>
        <v>368.2</v>
      </c>
      <c r="I7" s="19">
        <v>2</v>
      </c>
      <c r="J7" s="14" t="str">
        <f t="shared" si="3"/>
        <v>REORDER NOW</v>
      </c>
      <c r="K7" s="14">
        <f>SKU_Master!H7</f>
        <v>30</v>
      </c>
      <c r="L7" s="14">
        <f t="shared" si="4"/>
        <v>1588.5</v>
      </c>
      <c r="M7" s="14">
        <f t="shared" si="5"/>
        <v>53</v>
      </c>
    </row>
    <row r="8" spans="1:15" x14ac:dyDescent="0.3">
      <c r="A8" s="14" t="str">
        <f>SKU_Master!A8</f>
        <v>MDLZ0007</v>
      </c>
      <c r="B8" s="14" t="str">
        <f>ABC_Analysis!G8</f>
        <v>B</v>
      </c>
      <c r="C8" s="14">
        <f>Demand_Stats!C8</f>
        <v>79.47</v>
      </c>
      <c r="D8" s="14">
        <f>Demand_Stats!D8</f>
        <v>36.25</v>
      </c>
      <c r="E8" s="14">
        <f>SKU_Master!F8</f>
        <v>3</v>
      </c>
      <c r="F8" s="14">
        <f t="shared" si="0"/>
        <v>1.65</v>
      </c>
      <c r="G8" s="14">
        <f t="shared" si="1"/>
        <v>103.6</v>
      </c>
      <c r="H8" s="14">
        <f t="shared" si="2"/>
        <v>342</v>
      </c>
      <c r="I8" s="19">
        <v>55</v>
      </c>
      <c r="J8" s="14" t="str">
        <f t="shared" si="3"/>
        <v>REORDER NOW</v>
      </c>
      <c r="K8" s="14">
        <f>SKU_Master!H8</f>
        <v>24</v>
      </c>
      <c r="L8" s="14">
        <f t="shared" si="4"/>
        <v>1081.7</v>
      </c>
      <c r="M8" s="14">
        <f t="shared" si="5"/>
        <v>46</v>
      </c>
    </row>
    <row r="9" spans="1:15" x14ac:dyDescent="0.3">
      <c r="A9" s="14" t="str">
        <f>SKU_Master!A9</f>
        <v>MDLZ0008</v>
      </c>
      <c r="B9" s="14" t="str">
        <f>ABC_Analysis!G9</f>
        <v>A</v>
      </c>
      <c r="C9" s="14">
        <f>Demand_Stats!C9</f>
        <v>124.42</v>
      </c>
      <c r="D9" s="14">
        <f>Demand_Stats!D9</f>
        <v>57.58</v>
      </c>
      <c r="E9" s="14">
        <f>SKU_Master!F9</f>
        <v>4</v>
      </c>
      <c r="F9" s="14">
        <f t="shared" si="0"/>
        <v>2.0499999999999998</v>
      </c>
      <c r="G9" s="14">
        <f t="shared" si="1"/>
        <v>236.1</v>
      </c>
      <c r="H9" s="14">
        <f t="shared" si="2"/>
        <v>733.8</v>
      </c>
      <c r="I9" s="19">
        <v>91</v>
      </c>
      <c r="J9" s="14" t="str">
        <f t="shared" si="3"/>
        <v>REORDER NOW</v>
      </c>
      <c r="K9" s="14">
        <f>SKU_Master!H9</f>
        <v>42</v>
      </c>
      <c r="L9" s="14">
        <f t="shared" si="4"/>
        <v>1887</v>
      </c>
      <c r="M9" s="14">
        <f t="shared" si="5"/>
        <v>45</v>
      </c>
    </row>
    <row r="10" spans="1:15" x14ac:dyDescent="0.3">
      <c r="A10" s="14" t="str">
        <f>SKU_Master!A10</f>
        <v>MDLZ0009</v>
      </c>
      <c r="B10" s="14" t="str">
        <f>ABC_Analysis!G10</f>
        <v>C</v>
      </c>
      <c r="C10" s="14">
        <f>Demand_Stats!C10</f>
        <v>92.67</v>
      </c>
      <c r="D10" s="14">
        <f>Demand_Stats!D10</f>
        <v>37.99</v>
      </c>
      <c r="E10" s="14">
        <f>SKU_Master!F10</f>
        <v>5</v>
      </c>
      <c r="F10" s="14">
        <f t="shared" si="0"/>
        <v>1.28</v>
      </c>
      <c r="G10" s="14">
        <f t="shared" si="1"/>
        <v>108.7</v>
      </c>
      <c r="H10" s="14">
        <f t="shared" si="2"/>
        <v>572.1</v>
      </c>
      <c r="I10" s="19">
        <v>90</v>
      </c>
      <c r="J10" s="14" t="str">
        <f t="shared" si="3"/>
        <v>REORDER NOW</v>
      </c>
      <c r="K10" s="14">
        <f>SKU_Master!H10</f>
        <v>48</v>
      </c>
      <c r="L10" s="14">
        <f t="shared" si="4"/>
        <v>1408.8000000000002</v>
      </c>
      <c r="M10" s="14">
        <f t="shared" si="5"/>
        <v>30</v>
      </c>
    </row>
    <row r="11" spans="1:15" x14ac:dyDescent="0.3">
      <c r="A11" s="14" t="str">
        <f>SKU_Master!A11</f>
        <v>MDLZ0010</v>
      </c>
      <c r="B11" s="14" t="str">
        <f>ABC_Analysis!G11</f>
        <v>C</v>
      </c>
      <c r="C11" s="14">
        <f>Demand_Stats!C11</f>
        <v>79.209999999999994</v>
      </c>
      <c r="D11" s="14">
        <f>Demand_Stats!D11</f>
        <v>49.72</v>
      </c>
      <c r="E11" s="14">
        <f>SKU_Master!F11</f>
        <v>10</v>
      </c>
      <c r="F11" s="14">
        <f t="shared" si="0"/>
        <v>1.28</v>
      </c>
      <c r="G11" s="14">
        <f t="shared" si="1"/>
        <v>201.3</v>
      </c>
      <c r="H11" s="14">
        <f t="shared" si="2"/>
        <v>993.4</v>
      </c>
      <c r="I11" s="19">
        <v>257</v>
      </c>
      <c r="J11" s="14" t="str">
        <f t="shared" si="3"/>
        <v>REORDER NOW</v>
      </c>
      <c r="K11" s="14">
        <f>SKU_Master!H11</f>
        <v>24</v>
      </c>
      <c r="L11" s="14">
        <f t="shared" si="4"/>
        <v>1528.5</v>
      </c>
      <c r="M11" s="14">
        <f t="shared" si="5"/>
        <v>64</v>
      </c>
    </row>
    <row r="12" spans="1:15" x14ac:dyDescent="0.3">
      <c r="A12" s="14" t="str">
        <f>SKU_Master!A12</f>
        <v>MDLZ0011</v>
      </c>
      <c r="B12" s="14" t="str">
        <f>ABC_Analysis!G12</f>
        <v>A</v>
      </c>
      <c r="C12" s="14">
        <f>Demand_Stats!C12</f>
        <v>156.09</v>
      </c>
      <c r="D12" s="14">
        <f>Demand_Stats!D12</f>
        <v>77.98</v>
      </c>
      <c r="E12" s="14">
        <f>SKU_Master!F12</f>
        <v>7</v>
      </c>
      <c r="F12" s="14">
        <f t="shared" si="0"/>
        <v>2.0499999999999998</v>
      </c>
      <c r="G12" s="14">
        <f t="shared" si="1"/>
        <v>422.9</v>
      </c>
      <c r="H12" s="14">
        <f t="shared" si="2"/>
        <v>1515.5</v>
      </c>
      <c r="I12" s="19">
        <v>310</v>
      </c>
      <c r="J12" s="14" t="str">
        <f t="shared" si="3"/>
        <v>REORDER NOW</v>
      </c>
      <c r="K12" s="14">
        <f>SKU_Master!H12</f>
        <v>42</v>
      </c>
      <c r="L12" s="14">
        <f t="shared" si="4"/>
        <v>2766.4</v>
      </c>
      <c r="M12" s="14">
        <f t="shared" si="5"/>
        <v>66</v>
      </c>
    </row>
    <row r="13" spans="1:15" x14ac:dyDescent="0.3">
      <c r="A13" s="14" t="str">
        <f>SKU_Master!A13</f>
        <v>MDLZ0012</v>
      </c>
      <c r="B13" s="14" t="str">
        <f>ABC_Analysis!G13</f>
        <v>A</v>
      </c>
      <c r="C13" s="14">
        <f>Demand_Stats!C13</f>
        <v>84.52</v>
      </c>
      <c r="D13" s="14">
        <f>Demand_Stats!D13</f>
        <v>35.32</v>
      </c>
      <c r="E13" s="14">
        <f>SKU_Master!F13</f>
        <v>14</v>
      </c>
      <c r="F13" s="14">
        <f t="shared" si="0"/>
        <v>2.0499999999999998</v>
      </c>
      <c r="G13" s="14">
        <f t="shared" si="1"/>
        <v>270.89999999999998</v>
      </c>
      <c r="H13" s="14">
        <f t="shared" si="2"/>
        <v>1454.2</v>
      </c>
      <c r="I13" s="19">
        <v>420</v>
      </c>
      <c r="J13" s="14" t="str">
        <f t="shared" si="3"/>
        <v>REORDER NOW</v>
      </c>
      <c r="K13" s="14">
        <f>SKU_Master!H13</f>
        <v>48</v>
      </c>
      <c r="L13" s="14">
        <f t="shared" si="4"/>
        <v>1879.4</v>
      </c>
      <c r="M13" s="14">
        <f t="shared" si="5"/>
        <v>40</v>
      </c>
    </row>
    <row r="14" spans="1:15" x14ac:dyDescent="0.3">
      <c r="A14" s="14" t="str">
        <f>SKU_Master!A14</f>
        <v>MDLZ0013</v>
      </c>
      <c r="B14" s="14" t="str">
        <f>ABC_Analysis!G14</f>
        <v>A</v>
      </c>
      <c r="C14" s="14">
        <f>Demand_Stats!C14</f>
        <v>315.17</v>
      </c>
      <c r="D14" s="14">
        <f>Demand_Stats!D14</f>
        <v>139.33000000000001</v>
      </c>
      <c r="E14" s="14">
        <f>SKU_Master!F14</f>
        <v>10</v>
      </c>
      <c r="F14" s="14">
        <f t="shared" si="0"/>
        <v>2.0499999999999998</v>
      </c>
      <c r="G14" s="14">
        <f t="shared" si="1"/>
        <v>903.2</v>
      </c>
      <c r="H14" s="14">
        <f t="shared" si="2"/>
        <v>4054.9</v>
      </c>
      <c r="I14" s="19">
        <v>1573</v>
      </c>
      <c r="J14" s="14" t="str">
        <f t="shared" si="3"/>
        <v>REORDER NOW</v>
      </c>
      <c r="K14" s="14">
        <f>SKU_Master!H14</f>
        <v>42</v>
      </c>
      <c r="L14" s="14">
        <f t="shared" si="4"/>
        <v>5633.6</v>
      </c>
      <c r="M14" s="14">
        <f t="shared" si="5"/>
        <v>135</v>
      </c>
    </row>
    <row r="15" spans="1:15" x14ac:dyDescent="0.3">
      <c r="A15" s="14" t="str">
        <f>SKU_Master!A15</f>
        <v>MDLZ0014</v>
      </c>
      <c r="B15" s="14" t="str">
        <f>ABC_Analysis!G15</f>
        <v>A</v>
      </c>
      <c r="C15" s="14">
        <f>Demand_Stats!C15</f>
        <v>103.76</v>
      </c>
      <c r="D15" s="14">
        <f>Demand_Stats!D15</f>
        <v>46.36</v>
      </c>
      <c r="E15" s="14">
        <f>SKU_Master!F15</f>
        <v>2</v>
      </c>
      <c r="F15" s="14">
        <f t="shared" si="0"/>
        <v>2.0499999999999998</v>
      </c>
      <c r="G15" s="14">
        <f t="shared" si="1"/>
        <v>134.4</v>
      </c>
      <c r="H15" s="14">
        <f t="shared" si="2"/>
        <v>341.9</v>
      </c>
      <c r="I15" s="19">
        <v>479</v>
      </c>
      <c r="J15" s="14" t="str">
        <f t="shared" si="3"/>
        <v>OK</v>
      </c>
      <c r="K15" s="14">
        <f>SKU_Master!H15</f>
        <v>42</v>
      </c>
      <c r="L15" s="14">
        <f t="shared" si="4"/>
        <v>900.5</v>
      </c>
      <c r="M15" s="14">
        <f t="shared" si="5"/>
        <v>22</v>
      </c>
    </row>
    <row r="16" spans="1:15" x14ac:dyDescent="0.3">
      <c r="A16" s="14" t="str">
        <f>SKU_Master!A16</f>
        <v>MDLZ0015</v>
      </c>
      <c r="B16" s="14" t="str">
        <f>ABC_Analysis!G16</f>
        <v>C</v>
      </c>
      <c r="C16" s="14">
        <f>Demand_Stats!C16</f>
        <v>63.64</v>
      </c>
      <c r="D16" s="14">
        <f>Demand_Stats!D16</f>
        <v>31.45</v>
      </c>
      <c r="E16" s="14">
        <f>SKU_Master!F16</f>
        <v>10</v>
      </c>
      <c r="F16" s="14">
        <f t="shared" si="0"/>
        <v>1.28</v>
      </c>
      <c r="G16" s="14">
        <f t="shared" si="1"/>
        <v>127.3</v>
      </c>
      <c r="H16" s="14">
        <f t="shared" si="2"/>
        <v>763.7</v>
      </c>
      <c r="I16" s="19">
        <v>164</v>
      </c>
      <c r="J16" s="14" t="str">
        <f t="shared" si="3"/>
        <v>REORDER NOW</v>
      </c>
      <c r="K16" s="14">
        <f>SKU_Master!H16</f>
        <v>24</v>
      </c>
      <c r="L16" s="14">
        <f t="shared" si="4"/>
        <v>1236.0999999999999</v>
      </c>
      <c r="M16" s="14">
        <f t="shared" si="5"/>
        <v>52</v>
      </c>
    </row>
    <row r="17" spans="1:13" x14ac:dyDescent="0.3">
      <c r="A17" s="14" t="str">
        <f>SKU_Master!A17</f>
        <v>MDLZ0016</v>
      </c>
      <c r="B17" s="14" t="str">
        <f>ABC_Analysis!G17</f>
        <v>A</v>
      </c>
      <c r="C17" s="14">
        <f>Demand_Stats!C17</f>
        <v>82.18</v>
      </c>
      <c r="D17" s="14">
        <f>Demand_Stats!D17</f>
        <v>37.31</v>
      </c>
      <c r="E17" s="14">
        <f>SKU_Master!F17</f>
        <v>10</v>
      </c>
      <c r="F17" s="14">
        <f t="shared" si="0"/>
        <v>2.0499999999999998</v>
      </c>
      <c r="G17" s="14">
        <f t="shared" si="1"/>
        <v>241.9</v>
      </c>
      <c r="H17" s="14">
        <f t="shared" si="2"/>
        <v>1063.7</v>
      </c>
      <c r="I17" s="19">
        <v>699</v>
      </c>
      <c r="J17" s="14" t="str">
        <f t="shared" si="3"/>
        <v>REORDER NOW</v>
      </c>
      <c r="K17" s="14">
        <f>SKU_Master!H17</f>
        <v>24</v>
      </c>
      <c r="L17" s="14">
        <f t="shared" si="4"/>
        <v>1186.5</v>
      </c>
      <c r="M17" s="14">
        <f t="shared" si="5"/>
        <v>50</v>
      </c>
    </row>
    <row r="18" spans="1:13" x14ac:dyDescent="0.3">
      <c r="A18" s="14" t="str">
        <f>SKU_Master!A18</f>
        <v>MDLZ0017</v>
      </c>
      <c r="B18" s="14" t="str">
        <f>ABC_Analysis!G18</f>
        <v>C</v>
      </c>
      <c r="C18" s="14">
        <f>Demand_Stats!C18</f>
        <v>57.38</v>
      </c>
      <c r="D18" s="14">
        <f>Demand_Stats!D18</f>
        <v>30.55</v>
      </c>
      <c r="E18" s="14">
        <f>SKU_Master!F18</f>
        <v>10</v>
      </c>
      <c r="F18" s="14">
        <f t="shared" si="0"/>
        <v>1.28</v>
      </c>
      <c r="G18" s="14">
        <f t="shared" si="1"/>
        <v>123.7</v>
      </c>
      <c r="H18" s="14">
        <f t="shared" si="2"/>
        <v>697.5</v>
      </c>
      <c r="I18" s="19">
        <v>118</v>
      </c>
      <c r="J18" s="14" t="str">
        <f t="shared" si="3"/>
        <v>REORDER NOW</v>
      </c>
      <c r="K18" s="14">
        <f>SKU_Master!H18</f>
        <v>36</v>
      </c>
      <c r="L18" s="14">
        <f t="shared" si="4"/>
        <v>1153.3000000000002</v>
      </c>
      <c r="M18" s="14">
        <f t="shared" si="5"/>
        <v>33</v>
      </c>
    </row>
    <row r="19" spans="1:13" x14ac:dyDescent="0.3">
      <c r="A19" s="14" t="str">
        <f>SKU_Master!A19</f>
        <v>MDLZ0018</v>
      </c>
      <c r="B19" s="14" t="str">
        <f>ABC_Analysis!G19</f>
        <v>A</v>
      </c>
      <c r="C19" s="14">
        <f>Demand_Stats!C19</f>
        <v>102.68</v>
      </c>
      <c r="D19" s="14">
        <f>Demand_Stats!D19</f>
        <v>49.72</v>
      </c>
      <c r="E19" s="14">
        <f>SKU_Master!F19</f>
        <v>7</v>
      </c>
      <c r="F19" s="14">
        <f t="shared" si="0"/>
        <v>2.0499999999999998</v>
      </c>
      <c r="G19" s="14">
        <f t="shared" si="1"/>
        <v>269.7</v>
      </c>
      <c r="H19" s="14">
        <f t="shared" si="2"/>
        <v>988.5</v>
      </c>
      <c r="I19" s="19">
        <v>665</v>
      </c>
      <c r="J19" s="14" t="str">
        <f t="shared" si="3"/>
        <v>REORDER NOW</v>
      </c>
      <c r="K19" s="14">
        <f>SKU_Master!H19</f>
        <v>24</v>
      </c>
      <c r="L19" s="14">
        <f t="shared" si="4"/>
        <v>1350.3000000000002</v>
      </c>
      <c r="M19" s="14">
        <f t="shared" si="5"/>
        <v>57</v>
      </c>
    </row>
    <row r="20" spans="1:13" x14ac:dyDescent="0.3">
      <c r="A20" s="14" t="str">
        <f>SKU_Master!A20</f>
        <v>MDLZ0019</v>
      </c>
      <c r="B20" s="14" t="str">
        <f>ABC_Analysis!G20</f>
        <v>C</v>
      </c>
      <c r="C20" s="14">
        <f>Demand_Stats!C20</f>
        <v>91.38</v>
      </c>
      <c r="D20" s="14">
        <f>Demand_Stats!D20</f>
        <v>40.090000000000003</v>
      </c>
      <c r="E20" s="14">
        <f>SKU_Master!F20</f>
        <v>5</v>
      </c>
      <c r="F20" s="14">
        <f t="shared" si="0"/>
        <v>1.28</v>
      </c>
      <c r="G20" s="14">
        <f t="shared" si="1"/>
        <v>114.7</v>
      </c>
      <c r="H20" s="14">
        <f t="shared" si="2"/>
        <v>571.6</v>
      </c>
      <c r="I20" s="19">
        <v>58</v>
      </c>
      <c r="J20" s="14" t="str">
        <f t="shared" si="3"/>
        <v>REORDER NOW</v>
      </c>
      <c r="K20" s="14">
        <f>SKU_Master!H20</f>
        <v>24</v>
      </c>
      <c r="L20" s="14">
        <f t="shared" si="4"/>
        <v>1427.4</v>
      </c>
      <c r="M20" s="14">
        <f t="shared" si="5"/>
        <v>60</v>
      </c>
    </row>
    <row r="21" spans="1:13" x14ac:dyDescent="0.3">
      <c r="A21" s="14" t="str">
        <f>SKU_Master!A21</f>
        <v>MDLZ0020</v>
      </c>
      <c r="B21" s="14" t="str">
        <f>ABC_Analysis!G21</f>
        <v>B</v>
      </c>
      <c r="C21" s="14">
        <f>Demand_Stats!C21</f>
        <v>96.46</v>
      </c>
      <c r="D21" s="14">
        <f>Demand_Stats!D21</f>
        <v>53.01</v>
      </c>
      <c r="E21" s="14">
        <f>SKU_Master!F21</f>
        <v>3</v>
      </c>
      <c r="F21" s="14">
        <f t="shared" si="0"/>
        <v>1.65</v>
      </c>
      <c r="G21" s="14">
        <f t="shared" si="1"/>
        <v>151.5</v>
      </c>
      <c r="H21" s="14">
        <f t="shared" si="2"/>
        <v>440.9</v>
      </c>
      <c r="I21" s="19">
        <v>553</v>
      </c>
      <c r="J21" s="14" t="str">
        <f t="shared" si="3"/>
        <v>OK</v>
      </c>
      <c r="K21" s="14">
        <f>SKU_Master!H21</f>
        <v>36</v>
      </c>
      <c r="L21" s="14">
        <f t="shared" si="4"/>
        <v>852.5</v>
      </c>
      <c r="M21" s="14">
        <f t="shared" si="5"/>
        <v>24</v>
      </c>
    </row>
    <row r="22" spans="1:13" x14ac:dyDescent="0.3">
      <c r="A22" s="14" t="str">
        <f>SKU_Master!A22</f>
        <v>MDLZ0021</v>
      </c>
      <c r="B22" s="14" t="str">
        <f>ABC_Analysis!G22</f>
        <v>B</v>
      </c>
      <c r="C22" s="14">
        <f>Demand_Stats!C22</f>
        <v>56.43</v>
      </c>
      <c r="D22" s="14">
        <f>Demand_Stats!D22</f>
        <v>26.66</v>
      </c>
      <c r="E22" s="14">
        <f>SKU_Master!F22</f>
        <v>2</v>
      </c>
      <c r="F22" s="14">
        <f t="shared" si="0"/>
        <v>1.65</v>
      </c>
      <c r="G22" s="14">
        <f t="shared" si="1"/>
        <v>62.2</v>
      </c>
      <c r="H22" s="14">
        <f t="shared" si="2"/>
        <v>175.1</v>
      </c>
      <c r="I22" s="19">
        <v>222</v>
      </c>
      <c r="J22" s="14" t="str">
        <f t="shared" si="3"/>
        <v>OK</v>
      </c>
      <c r="K22" s="14">
        <f>SKU_Master!H22</f>
        <v>36</v>
      </c>
      <c r="L22" s="14">
        <f t="shared" si="4"/>
        <v>517.4</v>
      </c>
      <c r="M22" s="14">
        <f t="shared" si="5"/>
        <v>15</v>
      </c>
    </row>
    <row r="23" spans="1:13" x14ac:dyDescent="0.3">
      <c r="A23" s="14" t="str">
        <f>SKU_Master!A23</f>
        <v>MDLZ0022</v>
      </c>
      <c r="B23" s="14" t="str">
        <f>ABC_Analysis!G23</f>
        <v>A</v>
      </c>
      <c r="C23" s="14">
        <f>Demand_Stats!C23</f>
        <v>80.989999999999995</v>
      </c>
      <c r="D23" s="14">
        <f>Demand_Stats!D23</f>
        <v>38.97</v>
      </c>
      <c r="E23" s="14">
        <f>SKU_Master!F23</f>
        <v>2</v>
      </c>
      <c r="F23" s="14">
        <f t="shared" si="0"/>
        <v>2.0499999999999998</v>
      </c>
      <c r="G23" s="14">
        <f t="shared" si="1"/>
        <v>113</v>
      </c>
      <c r="H23" s="14">
        <f t="shared" si="2"/>
        <v>275</v>
      </c>
      <c r="I23" s="19">
        <v>451</v>
      </c>
      <c r="J23" s="14" t="str">
        <f t="shared" si="3"/>
        <v>OK</v>
      </c>
      <c r="K23" s="14">
        <f>SKU_Master!H23</f>
        <v>30</v>
      </c>
      <c r="L23" s="14">
        <f t="shared" si="4"/>
        <v>633.90000000000009</v>
      </c>
      <c r="M23" s="14">
        <f t="shared" si="5"/>
        <v>22</v>
      </c>
    </row>
    <row r="24" spans="1:13" x14ac:dyDescent="0.3">
      <c r="A24" s="14" t="str">
        <f>SKU_Master!A24</f>
        <v>MDLZ0023</v>
      </c>
      <c r="B24" s="14" t="str">
        <f>ABC_Analysis!G24</f>
        <v>A</v>
      </c>
      <c r="C24" s="14">
        <f>Demand_Stats!C24</f>
        <v>151.04</v>
      </c>
      <c r="D24" s="14">
        <f>Demand_Stats!D24</f>
        <v>88.25</v>
      </c>
      <c r="E24" s="14">
        <f>SKU_Master!F24</f>
        <v>5</v>
      </c>
      <c r="F24" s="14">
        <f t="shared" si="0"/>
        <v>2.0499999999999998</v>
      </c>
      <c r="G24" s="14">
        <f t="shared" si="1"/>
        <v>404.5</v>
      </c>
      <c r="H24" s="14">
        <f t="shared" si="2"/>
        <v>1159.7</v>
      </c>
      <c r="I24" s="19">
        <v>525</v>
      </c>
      <c r="J24" s="14" t="str">
        <f t="shared" si="3"/>
        <v>REORDER NOW</v>
      </c>
      <c r="K24" s="14">
        <f>SKU_Master!H24</f>
        <v>30</v>
      </c>
      <c r="L24" s="14">
        <f t="shared" si="4"/>
        <v>2145.1</v>
      </c>
      <c r="M24" s="14">
        <f t="shared" si="5"/>
        <v>72</v>
      </c>
    </row>
    <row r="25" spans="1:13" x14ac:dyDescent="0.3">
      <c r="A25" s="14" t="str">
        <f>SKU_Master!A25</f>
        <v>MDLZ0024</v>
      </c>
      <c r="B25" s="14" t="str">
        <f>ABC_Analysis!G25</f>
        <v>B</v>
      </c>
      <c r="C25" s="14">
        <f>Demand_Stats!C25</f>
        <v>55.81</v>
      </c>
      <c r="D25" s="14">
        <f>Demand_Stats!D25</f>
        <v>23.5</v>
      </c>
      <c r="E25" s="14">
        <f>SKU_Master!F25</f>
        <v>5</v>
      </c>
      <c r="F25" s="14">
        <f t="shared" si="0"/>
        <v>1.65</v>
      </c>
      <c r="G25" s="14">
        <f t="shared" si="1"/>
        <v>86.7</v>
      </c>
      <c r="H25" s="14">
        <f t="shared" si="2"/>
        <v>365.8</v>
      </c>
      <c r="I25" s="19">
        <v>418</v>
      </c>
      <c r="J25" s="14" t="str">
        <f t="shared" si="3"/>
        <v>OK</v>
      </c>
      <c r="K25" s="14">
        <f>SKU_Master!H25</f>
        <v>24</v>
      </c>
      <c r="L25" s="14">
        <f t="shared" si="4"/>
        <v>505.90000000000009</v>
      </c>
      <c r="M25" s="14">
        <f t="shared" si="5"/>
        <v>22</v>
      </c>
    </row>
    <row r="26" spans="1:13" x14ac:dyDescent="0.3">
      <c r="A26" s="14" t="str">
        <f>SKU_Master!A26</f>
        <v>MDLZ0025</v>
      </c>
      <c r="B26" s="14" t="str">
        <f>ABC_Analysis!G26</f>
        <v>B</v>
      </c>
      <c r="C26" s="14">
        <f>Demand_Stats!C26</f>
        <v>47.27</v>
      </c>
      <c r="D26" s="14">
        <f>Demand_Stats!D26</f>
        <v>20.04</v>
      </c>
      <c r="E26" s="14">
        <f>SKU_Master!F26</f>
        <v>5</v>
      </c>
      <c r="F26" s="14">
        <f t="shared" si="0"/>
        <v>1.65</v>
      </c>
      <c r="G26" s="14">
        <f t="shared" si="1"/>
        <v>73.900000000000006</v>
      </c>
      <c r="H26" s="14">
        <f t="shared" si="2"/>
        <v>310.3</v>
      </c>
      <c r="I26" s="19">
        <v>17</v>
      </c>
      <c r="J26" s="14" t="str">
        <f t="shared" si="3"/>
        <v>REORDER NOW</v>
      </c>
      <c r="K26" s="14">
        <f>SKU_Master!H26</f>
        <v>36</v>
      </c>
      <c r="L26" s="14">
        <f t="shared" si="4"/>
        <v>766</v>
      </c>
      <c r="M26" s="14">
        <f t="shared" si="5"/>
        <v>22</v>
      </c>
    </row>
    <row r="27" spans="1:13" x14ac:dyDescent="0.3">
      <c r="A27" s="14" t="str">
        <f>SKU_Master!A27</f>
        <v>MDLZ0026</v>
      </c>
      <c r="B27" s="14" t="str">
        <f>ABC_Analysis!G27</f>
        <v>A</v>
      </c>
      <c r="C27" s="14">
        <f>Demand_Stats!C27</f>
        <v>103.92</v>
      </c>
      <c r="D27" s="14">
        <f>Demand_Stats!D27</f>
        <v>54.32</v>
      </c>
      <c r="E27" s="14">
        <f>SKU_Master!F27</f>
        <v>14</v>
      </c>
      <c r="F27" s="14">
        <f t="shared" si="0"/>
        <v>2.0499999999999998</v>
      </c>
      <c r="G27" s="14">
        <f t="shared" si="1"/>
        <v>416.7</v>
      </c>
      <c r="H27" s="14">
        <f t="shared" si="2"/>
        <v>1871.6</v>
      </c>
      <c r="I27" s="19">
        <v>488</v>
      </c>
      <c r="J27" s="14" t="str">
        <f t="shared" si="3"/>
        <v>REORDER NOW</v>
      </c>
      <c r="K27" s="14">
        <f>SKU_Master!H27</f>
        <v>42</v>
      </c>
      <c r="L27" s="14">
        <f t="shared" si="4"/>
        <v>2422.8000000000002</v>
      </c>
      <c r="M27" s="14">
        <f t="shared" si="5"/>
        <v>58</v>
      </c>
    </row>
    <row r="28" spans="1:13" x14ac:dyDescent="0.3">
      <c r="A28" s="14" t="str">
        <f>SKU_Master!A28</f>
        <v>MDLZ0027</v>
      </c>
      <c r="B28" s="14" t="str">
        <f>ABC_Analysis!G28</f>
        <v>C</v>
      </c>
      <c r="C28" s="14">
        <f>Demand_Stats!C28</f>
        <v>65.61</v>
      </c>
      <c r="D28" s="14">
        <f>Demand_Stats!D28</f>
        <v>31.13</v>
      </c>
      <c r="E28" s="14">
        <f>SKU_Master!F28</f>
        <v>3</v>
      </c>
      <c r="F28" s="14">
        <f t="shared" si="0"/>
        <v>1.28</v>
      </c>
      <c r="G28" s="14">
        <f t="shared" si="1"/>
        <v>69</v>
      </c>
      <c r="H28" s="14">
        <f t="shared" si="2"/>
        <v>265.8</v>
      </c>
      <c r="I28" s="19">
        <v>121</v>
      </c>
      <c r="J28" s="14" t="str">
        <f t="shared" si="3"/>
        <v>REORDER NOW</v>
      </c>
      <c r="K28" s="14">
        <f>SKU_Master!H28</f>
        <v>24</v>
      </c>
      <c r="L28" s="14">
        <f t="shared" si="4"/>
        <v>800.90000000000009</v>
      </c>
      <c r="M28" s="14">
        <f t="shared" si="5"/>
        <v>34</v>
      </c>
    </row>
    <row r="29" spans="1:13" x14ac:dyDescent="0.3">
      <c r="A29" s="14" t="str">
        <f>SKU_Master!A29</f>
        <v>MDLZ0028</v>
      </c>
      <c r="B29" s="14" t="str">
        <f>ABC_Analysis!G29</f>
        <v>A</v>
      </c>
      <c r="C29" s="14">
        <f>Demand_Stats!C29</f>
        <v>73.7</v>
      </c>
      <c r="D29" s="14">
        <f>Demand_Stats!D29</f>
        <v>28.09</v>
      </c>
      <c r="E29" s="14">
        <f>SKU_Master!F29</f>
        <v>3</v>
      </c>
      <c r="F29" s="14">
        <f t="shared" si="0"/>
        <v>2.0499999999999998</v>
      </c>
      <c r="G29" s="14">
        <f t="shared" si="1"/>
        <v>99.7</v>
      </c>
      <c r="H29" s="14">
        <f t="shared" si="2"/>
        <v>320.8</v>
      </c>
      <c r="I29" s="19">
        <v>94</v>
      </c>
      <c r="J29" s="14" t="str">
        <f t="shared" si="3"/>
        <v>REORDER NOW</v>
      </c>
      <c r="K29" s="14">
        <f>SKU_Master!H29</f>
        <v>24</v>
      </c>
      <c r="L29" s="14">
        <f t="shared" si="4"/>
        <v>963.8</v>
      </c>
      <c r="M29" s="14">
        <f t="shared" si="5"/>
        <v>41</v>
      </c>
    </row>
    <row r="30" spans="1:13" x14ac:dyDescent="0.3">
      <c r="A30" s="14" t="str">
        <f>SKU_Master!A30</f>
        <v>MDLZ0029</v>
      </c>
      <c r="B30" s="14" t="str">
        <f>ABC_Analysis!G30</f>
        <v>B</v>
      </c>
      <c r="C30" s="14">
        <f>Demand_Stats!C30</f>
        <v>96.63</v>
      </c>
      <c r="D30" s="14">
        <f>Demand_Stats!D30</f>
        <v>46.43</v>
      </c>
      <c r="E30" s="14">
        <f>SKU_Master!F30</f>
        <v>3</v>
      </c>
      <c r="F30" s="14">
        <f t="shared" si="0"/>
        <v>1.65</v>
      </c>
      <c r="G30" s="14">
        <f t="shared" si="1"/>
        <v>132.69999999999999</v>
      </c>
      <c r="H30" s="14">
        <f t="shared" si="2"/>
        <v>422.6</v>
      </c>
      <c r="I30" s="19">
        <v>48</v>
      </c>
      <c r="J30" s="14" t="str">
        <f t="shared" si="3"/>
        <v>REORDER NOW</v>
      </c>
      <c r="K30" s="14">
        <f>SKU_Master!H30</f>
        <v>48</v>
      </c>
      <c r="L30" s="14">
        <f t="shared" si="4"/>
        <v>1340.9</v>
      </c>
      <c r="M30" s="14">
        <f t="shared" si="5"/>
        <v>28</v>
      </c>
    </row>
    <row r="31" spans="1:13" x14ac:dyDescent="0.3">
      <c r="A31" s="14" t="str">
        <f>SKU_Master!A31</f>
        <v>MDLZ0030</v>
      </c>
      <c r="B31" s="14" t="str">
        <f>ABC_Analysis!G31</f>
        <v>C</v>
      </c>
      <c r="C31" s="14">
        <f>Demand_Stats!C31</f>
        <v>75.28</v>
      </c>
      <c r="D31" s="14">
        <f>Demand_Stats!D31</f>
        <v>29.45</v>
      </c>
      <c r="E31" s="14">
        <f>SKU_Master!F31</f>
        <v>7</v>
      </c>
      <c r="F31" s="14">
        <f t="shared" si="0"/>
        <v>1.28</v>
      </c>
      <c r="G31" s="14">
        <f t="shared" si="1"/>
        <v>99.7</v>
      </c>
      <c r="H31" s="14">
        <f t="shared" si="2"/>
        <v>626.70000000000005</v>
      </c>
      <c r="I31" s="19">
        <v>131</v>
      </c>
      <c r="J31" s="14" t="str">
        <f t="shared" si="3"/>
        <v>REORDER NOW</v>
      </c>
      <c r="K31" s="14">
        <f>SKU_Master!H31</f>
        <v>48</v>
      </c>
      <c r="L31" s="14">
        <f t="shared" si="4"/>
        <v>1248.5</v>
      </c>
      <c r="M31" s="14">
        <f t="shared" si="5"/>
        <v>27</v>
      </c>
    </row>
    <row r="32" spans="1:13" x14ac:dyDescent="0.3">
      <c r="A32" s="14" t="str">
        <f>SKU_Master!A32</f>
        <v>MDLZ0031</v>
      </c>
      <c r="B32" s="14" t="str">
        <f>ABC_Analysis!G32</f>
        <v>A</v>
      </c>
      <c r="C32" s="14">
        <f>Demand_Stats!C32</f>
        <v>64.58</v>
      </c>
      <c r="D32" s="14">
        <f>Demand_Stats!D32</f>
        <v>25.08</v>
      </c>
      <c r="E32" s="14">
        <f>SKU_Master!F32</f>
        <v>7</v>
      </c>
      <c r="F32" s="14">
        <f t="shared" si="0"/>
        <v>2.0499999999999998</v>
      </c>
      <c r="G32" s="14">
        <f t="shared" si="1"/>
        <v>136</v>
      </c>
      <c r="H32" s="14">
        <f t="shared" si="2"/>
        <v>588.1</v>
      </c>
      <c r="I32" s="19">
        <v>78</v>
      </c>
      <c r="J32" s="14" t="str">
        <f t="shared" si="3"/>
        <v>REORDER NOW</v>
      </c>
      <c r="K32" s="14">
        <f>SKU_Master!H32</f>
        <v>24</v>
      </c>
      <c r="L32" s="14">
        <f t="shared" si="4"/>
        <v>1155.9000000000001</v>
      </c>
      <c r="M32" s="14">
        <f t="shared" si="5"/>
        <v>49</v>
      </c>
    </row>
    <row r="33" spans="1:13" x14ac:dyDescent="0.3">
      <c r="A33" s="14" t="str">
        <f>SKU_Master!A33</f>
        <v>MDLZ0032</v>
      </c>
      <c r="B33" s="14" t="str">
        <f>ABC_Analysis!G33</f>
        <v>C</v>
      </c>
      <c r="C33" s="14">
        <f>Demand_Stats!C33</f>
        <v>63.97</v>
      </c>
      <c r="D33" s="14">
        <f>Demand_Stats!D33</f>
        <v>41.03</v>
      </c>
      <c r="E33" s="14">
        <f>SKU_Master!F33</f>
        <v>7</v>
      </c>
      <c r="F33" s="14">
        <f t="shared" si="0"/>
        <v>1.28</v>
      </c>
      <c r="G33" s="14">
        <f t="shared" si="1"/>
        <v>139</v>
      </c>
      <c r="H33" s="14">
        <f t="shared" si="2"/>
        <v>586.79999999999995</v>
      </c>
      <c r="I33" s="19">
        <v>927</v>
      </c>
      <c r="J33" s="14" t="str">
        <f t="shared" si="3"/>
        <v>OK</v>
      </c>
      <c r="K33" s="14">
        <f>SKU_Master!H33</f>
        <v>24</v>
      </c>
      <c r="L33" s="14">
        <f t="shared" si="4"/>
        <v>299.5</v>
      </c>
      <c r="M33" s="14">
        <f t="shared" si="5"/>
        <v>13</v>
      </c>
    </row>
    <row r="34" spans="1:13" x14ac:dyDescent="0.3">
      <c r="A34" s="14" t="str">
        <f>SKU_Master!A34</f>
        <v>MDLZ0033</v>
      </c>
      <c r="B34" s="14" t="str">
        <f>ABC_Analysis!G34</f>
        <v>C</v>
      </c>
      <c r="C34" s="14">
        <f>Demand_Stats!C34</f>
        <v>65.930000000000007</v>
      </c>
      <c r="D34" s="14">
        <f>Demand_Stats!D34</f>
        <v>29.97</v>
      </c>
      <c r="E34" s="14">
        <f>SKU_Master!F34</f>
        <v>7</v>
      </c>
      <c r="F34" s="14">
        <f t="shared" ref="F34:F65" si="6">IF(B34="A",2.05,IF(B34="B",1.65,1.28))</f>
        <v>1.28</v>
      </c>
      <c r="G34" s="14">
        <f t="shared" ref="G34:G65" si="7">ROUND(F34*D34*SQRT(E34),1)</f>
        <v>101.5</v>
      </c>
      <c r="H34" s="14">
        <f t="shared" ref="H34:H65" si="8">ROUND((C34*E34)+G34,1)</f>
        <v>563</v>
      </c>
      <c r="I34" s="19">
        <v>332</v>
      </c>
      <c r="J34" s="14" t="str">
        <f t="shared" ref="J34:J65" si="9">IF(I34&lt;=H34,"REORDER NOW","OK")</f>
        <v>REORDER NOW</v>
      </c>
      <c r="K34" s="14">
        <f>SKU_Master!H34</f>
        <v>30</v>
      </c>
      <c r="L34" s="14">
        <f t="shared" ref="L34:L65" si="10">MAX(0,(H34+C34*10)-I34)</f>
        <v>890.30000000000018</v>
      </c>
      <c r="M34" s="14">
        <f t="shared" ref="M34:M65" si="11">IF(K34=0,0,ROUNDUP(L34/K34,0))</f>
        <v>30</v>
      </c>
    </row>
    <row r="35" spans="1:13" x14ac:dyDescent="0.3">
      <c r="A35" s="14" t="str">
        <f>SKU_Master!A35</f>
        <v>MDLZ0034</v>
      </c>
      <c r="B35" s="14" t="str">
        <f>ABC_Analysis!G35</f>
        <v>C</v>
      </c>
      <c r="C35" s="14">
        <f>Demand_Stats!C35</f>
        <v>48.51</v>
      </c>
      <c r="D35" s="14">
        <f>Demand_Stats!D35</f>
        <v>35.58</v>
      </c>
      <c r="E35" s="14">
        <f>SKU_Master!F35</f>
        <v>2</v>
      </c>
      <c r="F35" s="14">
        <f t="shared" si="6"/>
        <v>1.28</v>
      </c>
      <c r="G35" s="14">
        <f t="shared" si="7"/>
        <v>64.400000000000006</v>
      </c>
      <c r="H35" s="14">
        <f t="shared" si="8"/>
        <v>161.4</v>
      </c>
      <c r="I35" s="19">
        <v>87</v>
      </c>
      <c r="J35" s="14" t="str">
        <f t="shared" si="9"/>
        <v>REORDER NOW</v>
      </c>
      <c r="K35" s="14">
        <f>SKU_Master!H35</f>
        <v>36</v>
      </c>
      <c r="L35" s="14">
        <f t="shared" si="10"/>
        <v>559.5</v>
      </c>
      <c r="M35" s="14">
        <f t="shared" si="11"/>
        <v>16</v>
      </c>
    </row>
    <row r="36" spans="1:13" x14ac:dyDescent="0.3">
      <c r="A36" s="14" t="str">
        <f>SKU_Master!A36</f>
        <v>MDLZ0035</v>
      </c>
      <c r="B36" s="14" t="str">
        <f>ABC_Analysis!G36</f>
        <v>A</v>
      </c>
      <c r="C36" s="14">
        <f>Demand_Stats!C36</f>
        <v>98.59</v>
      </c>
      <c r="D36" s="14">
        <f>Demand_Stats!D36</f>
        <v>52.09</v>
      </c>
      <c r="E36" s="14">
        <f>SKU_Master!F36</f>
        <v>10</v>
      </c>
      <c r="F36" s="14">
        <f t="shared" si="6"/>
        <v>2.0499999999999998</v>
      </c>
      <c r="G36" s="14">
        <f t="shared" si="7"/>
        <v>337.7</v>
      </c>
      <c r="H36" s="14">
        <f t="shared" si="8"/>
        <v>1323.6</v>
      </c>
      <c r="I36" s="19">
        <v>1811</v>
      </c>
      <c r="J36" s="14" t="str">
        <f t="shared" si="9"/>
        <v>OK</v>
      </c>
      <c r="K36" s="14">
        <f>SKU_Master!H36</f>
        <v>42</v>
      </c>
      <c r="L36" s="14">
        <f t="shared" si="10"/>
        <v>498.5</v>
      </c>
      <c r="M36" s="14">
        <f t="shared" si="11"/>
        <v>12</v>
      </c>
    </row>
    <row r="37" spans="1:13" x14ac:dyDescent="0.3">
      <c r="A37" s="14" t="str">
        <f>SKU_Master!A37</f>
        <v>MDLZ0036</v>
      </c>
      <c r="B37" s="14" t="str">
        <f>ABC_Analysis!G37</f>
        <v>A</v>
      </c>
      <c r="C37" s="14">
        <f>Demand_Stats!C37</f>
        <v>77.84</v>
      </c>
      <c r="D37" s="14">
        <f>Demand_Stats!D37</f>
        <v>40.479999999999997</v>
      </c>
      <c r="E37" s="14">
        <f>SKU_Master!F37</f>
        <v>2</v>
      </c>
      <c r="F37" s="14">
        <f t="shared" si="6"/>
        <v>2.0499999999999998</v>
      </c>
      <c r="G37" s="14">
        <f t="shared" si="7"/>
        <v>117.4</v>
      </c>
      <c r="H37" s="14">
        <f t="shared" si="8"/>
        <v>273.10000000000002</v>
      </c>
      <c r="I37" s="19">
        <v>78</v>
      </c>
      <c r="J37" s="14" t="str">
        <f t="shared" si="9"/>
        <v>REORDER NOW</v>
      </c>
      <c r="K37" s="14">
        <f>SKU_Master!H37</f>
        <v>30</v>
      </c>
      <c r="L37" s="14">
        <f t="shared" si="10"/>
        <v>973.5</v>
      </c>
      <c r="M37" s="14">
        <f t="shared" si="11"/>
        <v>33</v>
      </c>
    </row>
    <row r="38" spans="1:13" x14ac:dyDescent="0.3">
      <c r="A38" s="14" t="str">
        <f>SKU_Master!A38</f>
        <v>MDLZ0037</v>
      </c>
      <c r="B38" s="14" t="str">
        <f>ABC_Analysis!G38</f>
        <v>C</v>
      </c>
      <c r="C38" s="14">
        <f>Demand_Stats!C38</f>
        <v>45.53</v>
      </c>
      <c r="D38" s="14">
        <f>Demand_Stats!D38</f>
        <v>23.98</v>
      </c>
      <c r="E38" s="14">
        <f>SKU_Master!F38</f>
        <v>3</v>
      </c>
      <c r="F38" s="14">
        <f t="shared" si="6"/>
        <v>1.28</v>
      </c>
      <c r="G38" s="14">
        <f t="shared" si="7"/>
        <v>53.2</v>
      </c>
      <c r="H38" s="14">
        <f t="shared" si="8"/>
        <v>189.8</v>
      </c>
      <c r="I38" s="19">
        <v>90</v>
      </c>
      <c r="J38" s="14" t="str">
        <f t="shared" si="9"/>
        <v>REORDER NOW</v>
      </c>
      <c r="K38" s="14">
        <f>SKU_Master!H38</f>
        <v>24</v>
      </c>
      <c r="L38" s="14">
        <f t="shared" si="10"/>
        <v>555.1</v>
      </c>
      <c r="M38" s="14">
        <f t="shared" si="11"/>
        <v>24</v>
      </c>
    </row>
    <row r="39" spans="1:13" x14ac:dyDescent="0.3">
      <c r="A39" s="14" t="str">
        <f>SKU_Master!A39</f>
        <v>MDLZ0038</v>
      </c>
      <c r="B39" s="14" t="str">
        <f>ABC_Analysis!G39</f>
        <v>B</v>
      </c>
      <c r="C39" s="14">
        <f>Demand_Stats!C39</f>
        <v>52.31</v>
      </c>
      <c r="D39" s="14">
        <f>Demand_Stats!D39</f>
        <v>23.98</v>
      </c>
      <c r="E39" s="14">
        <f>SKU_Master!F39</f>
        <v>5</v>
      </c>
      <c r="F39" s="14">
        <f t="shared" si="6"/>
        <v>1.65</v>
      </c>
      <c r="G39" s="14">
        <f t="shared" si="7"/>
        <v>88.5</v>
      </c>
      <c r="H39" s="14">
        <f t="shared" si="8"/>
        <v>350.1</v>
      </c>
      <c r="I39" s="19">
        <v>615</v>
      </c>
      <c r="J39" s="14" t="str">
        <f t="shared" si="9"/>
        <v>OK</v>
      </c>
      <c r="K39" s="14">
        <f>SKU_Master!H39</f>
        <v>48</v>
      </c>
      <c r="L39" s="14">
        <f t="shared" si="10"/>
        <v>258.20000000000005</v>
      </c>
      <c r="M39" s="14">
        <f t="shared" si="11"/>
        <v>6</v>
      </c>
    </row>
    <row r="40" spans="1:13" x14ac:dyDescent="0.3">
      <c r="A40" s="14" t="str">
        <f>SKU_Master!A40</f>
        <v>MDLZ0039</v>
      </c>
      <c r="B40" s="14" t="str">
        <f>ABC_Analysis!G40</f>
        <v>A</v>
      </c>
      <c r="C40" s="14">
        <f>Demand_Stats!C40</f>
        <v>115.28</v>
      </c>
      <c r="D40" s="14">
        <f>Demand_Stats!D40</f>
        <v>51.65</v>
      </c>
      <c r="E40" s="14">
        <f>SKU_Master!F40</f>
        <v>14</v>
      </c>
      <c r="F40" s="14">
        <f t="shared" si="6"/>
        <v>2.0499999999999998</v>
      </c>
      <c r="G40" s="14">
        <f t="shared" si="7"/>
        <v>396.2</v>
      </c>
      <c r="H40" s="14">
        <f t="shared" si="8"/>
        <v>2010.1</v>
      </c>
      <c r="I40" s="19">
        <v>713</v>
      </c>
      <c r="J40" s="14" t="str">
        <f t="shared" si="9"/>
        <v>REORDER NOW</v>
      </c>
      <c r="K40" s="14">
        <f>SKU_Master!H40</f>
        <v>48</v>
      </c>
      <c r="L40" s="14">
        <f t="shared" si="10"/>
        <v>2449.8999999999996</v>
      </c>
      <c r="M40" s="14">
        <f t="shared" si="11"/>
        <v>52</v>
      </c>
    </row>
    <row r="41" spans="1:13" x14ac:dyDescent="0.3">
      <c r="A41" s="14" t="str">
        <f>SKU_Master!A41</f>
        <v>MDLZ0040</v>
      </c>
      <c r="B41" s="14" t="str">
        <f>ABC_Analysis!G41</f>
        <v>A</v>
      </c>
      <c r="C41" s="14">
        <f>Demand_Stats!C41</f>
        <v>126.27</v>
      </c>
      <c r="D41" s="14">
        <f>Demand_Stats!D41</f>
        <v>45.3</v>
      </c>
      <c r="E41" s="14">
        <f>SKU_Master!F41</f>
        <v>10</v>
      </c>
      <c r="F41" s="14">
        <f t="shared" si="6"/>
        <v>2.0499999999999998</v>
      </c>
      <c r="G41" s="14">
        <f t="shared" si="7"/>
        <v>293.7</v>
      </c>
      <c r="H41" s="14">
        <f t="shared" si="8"/>
        <v>1556.4</v>
      </c>
      <c r="I41" s="19">
        <v>138</v>
      </c>
      <c r="J41" s="14" t="str">
        <f t="shared" si="9"/>
        <v>REORDER NOW</v>
      </c>
      <c r="K41" s="14">
        <f>SKU_Master!H41</f>
        <v>48</v>
      </c>
      <c r="L41" s="14">
        <f t="shared" si="10"/>
        <v>2681.1000000000004</v>
      </c>
      <c r="M41" s="14">
        <f t="shared" si="11"/>
        <v>56</v>
      </c>
    </row>
    <row r="42" spans="1:13" x14ac:dyDescent="0.3">
      <c r="A42" s="14" t="str">
        <f>SKU_Master!A42</f>
        <v>MDLZ0041</v>
      </c>
      <c r="B42" s="14" t="str">
        <f>ABC_Analysis!G42</f>
        <v>C</v>
      </c>
      <c r="C42" s="14">
        <f>Demand_Stats!C42</f>
        <v>43.2</v>
      </c>
      <c r="D42" s="14">
        <f>Demand_Stats!D42</f>
        <v>17.190000000000001</v>
      </c>
      <c r="E42" s="14">
        <f>SKU_Master!F42</f>
        <v>2</v>
      </c>
      <c r="F42" s="14">
        <f t="shared" si="6"/>
        <v>1.28</v>
      </c>
      <c r="G42" s="14">
        <f t="shared" si="7"/>
        <v>31.1</v>
      </c>
      <c r="H42" s="14">
        <f t="shared" si="8"/>
        <v>117.5</v>
      </c>
      <c r="I42" s="19">
        <v>42</v>
      </c>
      <c r="J42" s="14" t="str">
        <f t="shared" si="9"/>
        <v>REORDER NOW</v>
      </c>
      <c r="K42" s="14">
        <f>SKU_Master!H42</f>
        <v>24</v>
      </c>
      <c r="L42" s="14">
        <f t="shared" si="10"/>
        <v>507.5</v>
      </c>
      <c r="M42" s="14">
        <f t="shared" si="11"/>
        <v>22</v>
      </c>
    </row>
    <row r="43" spans="1:13" x14ac:dyDescent="0.3">
      <c r="A43" s="14" t="str">
        <f>SKU_Master!A43</f>
        <v>MDLZ0042</v>
      </c>
      <c r="B43" s="14" t="str">
        <f>ABC_Analysis!G43</f>
        <v>A</v>
      </c>
      <c r="C43" s="14">
        <f>Demand_Stats!C43</f>
        <v>87.01</v>
      </c>
      <c r="D43" s="14">
        <f>Demand_Stats!D43</f>
        <v>47.05</v>
      </c>
      <c r="E43" s="14">
        <f>SKU_Master!F43</f>
        <v>14</v>
      </c>
      <c r="F43" s="14">
        <f t="shared" si="6"/>
        <v>2.0499999999999998</v>
      </c>
      <c r="G43" s="14">
        <f t="shared" si="7"/>
        <v>360.9</v>
      </c>
      <c r="H43" s="14">
        <f t="shared" si="8"/>
        <v>1579</v>
      </c>
      <c r="I43" s="19">
        <v>393</v>
      </c>
      <c r="J43" s="14" t="str">
        <f t="shared" si="9"/>
        <v>REORDER NOW</v>
      </c>
      <c r="K43" s="14">
        <f>SKU_Master!H43</f>
        <v>42</v>
      </c>
      <c r="L43" s="14">
        <f t="shared" si="10"/>
        <v>2056.1</v>
      </c>
      <c r="M43" s="14">
        <f t="shared" si="11"/>
        <v>49</v>
      </c>
    </row>
    <row r="44" spans="1:13" x14ac:dyDescent="0.3">
      <c r="A44" s="14" t="str">
        <f>SKU_Master!A44</f>
        <v>MDLZ0043</v>
      </c>
      <c r="B44" s="14" t="str">
        <f>ABC_Analysis!G44</f>
        <v>A</v>
      </c>
      <c r="C44" s="14">
        <f>Demand_Stats!C44</f>
        <v>78.48</v>
      </c>
      <c r="D44" s="14">
        <f>Demand_Stats!D44</f>
        <v>39.35</v>
      </c>
      <c r="E44" s="14">
        <f>SKU_Master!F44</f>
        <v>10</v>
      </c>
      <c r="F44" s="14">
        <f t="shared" si="6"/>
        <v>2.0499999999999998</v>
      </c>
      <c r="G44" s="14">
        <f t="shared" si="7"/>
        <v>255.1</v>
      </c>
      <c r="H44" s="14">
        <f t="shared" si="8"/>
        <v>1039.9000000000001</v>
      </c>
      <c r="I44" s="19">
        <v>320</v>
      </c>
      <c r="J44" s="14" t="str">
        <f t="shared" si="9"/>
        <v>REORDER NOW</v>
      </c>
      <c r="K44" s="14">
        <f>SKU_Master!H44</f>
        <v>42</v>
      </c>
      <c r="L44" s="14">
        <f t="shared" si="10"/>
        <v>1504.7000000000003</v>
      </c>
      <c r="M44" s="14">
        <f t="shared" si="11"/>
        <v>36</v>
      </c>
    </row>
    <row r="45" spans="1:13" x14ac:dyDescent="0.3">
      <c r="A45" s="14" t="str">
        <f>SKU_Master!A45</f>
        <v>MDLZ0044</v>
      </c>
      <c r="B45" s="14" t="str">
        <f>ABC_Analysis!G45</f>
        <v>A</v>
      </c>
      <c r="C45" s="14">
        <f>Demand_Stats!C45</f>
        <v>53.3</v>
      </c>
      <c r="D45" s="14">
        <f>Demand_Stats!D45</f>
        <v>23.66</v>
      </c>
      <c r="E45" s="14">
        <f>SKU_Master!F45</f>
        <v>4</v>
      </c>
      <c r="F45" s="14">
        <f t="shared" si="6"/>
        <v>2.0499999999999998</v>
      </c>
      <c r="G45" s="14">
        <f t="shared" si="7"/>
        <v>97</v>
      </c>
      <c r="H45" s="14">
        <f t="shared" si="8"/>
        <v>310.2</v>
      </c>
      <c r="I45" s="19">
        <v>199</v>
      </c>
      <c r="J45" s="14" t="str">
        <f t="shared" si="9"/>
        <v>REORDER NOW</v>
      </c>
      <c r="K45" s="14">
        <f>SKU_Master!H45</f>
        <v>24</v>
      </c>
      <c r="L45" s="14">
        <f t="shared" si="10"/>
        <v>644.20000000000005</v>
      </c>
      <c r="M45" s="14">
        <f t="shared" si="11"/>
        <v>27</v>
      </c>
    </row>
    <row r="46" spans="1:13" x14ac:dyDescent="0.3">
      <c r="A46" s="14" t="str">
        <f>SKU_Master!A46</f>
        <v>MDLZ0045</v>
      </c>
      <c r="B46" s="14" t="str">
        <f>ABC_Analysis!G46</f>
        <v>A</v>
      </c>
      <c r="C46" s="14">
        <f>Demand_Stats!C46</f>
        <v>50.1</v>
      </c>
      <c r="D46" s="14">
        <f>Demand_Stats!D46</f>
        <v>22.66</v>
      </c>
      <c r="E46" s="14">
        <f>SKU_Master!F46</f>
        <v>4</v>
      </c>
      <c r="F46" s="14">
        <f t="shared" si="6"/>
        <v>2.0499999999999998</v>
      </c>
      <c r="G46" s="14">
        <f t="shared" si="7"/>
        <v>92.9</v>
      </c>
      <c r="H46" s="14">
        <f t="shared" si="8"/>
        <v>293.3</v>
      </c>
      <c r="I46" s="19">
        <v>33</v>
      </c>
      <c r="J46" s="14" t="str">
        <f t="shared" si="9"/>
        <v>REORDER NOW</v>
      </c>
      <c r="K46" s="14">
        <f>SKU_Master!H46</f>
        <v>48</v>
      </c>
      <c r="L46" s="14">
        <f t="shared" si="10"/>
        <v>761.3</v>
      </c>
      <c r="M46" s="14">
        <f t="shared" si="11"/>
        <v>16</v>
      </c>
    </row>
    <row r="47" spans="1:13" x14ac:dyDescent="0.3">
      <c r="A47" s="14" t="str">
        <f>SKU_Master!A47</f>
        <v>MDLZ0046</v>
      </c>
      <c r="B47" s="14" t="str">
        <f>ABC_Analysis!G47</f>
        <v>C</v>
      </c>
      <c r="C47" s="14">
        <f>Demand_Stats!C47</f>
        <v>84.01</v>
      </c>
      <c r="D47" s="14">
        <f>Demand_Stats!D47</f>
        <v>46.93</v>
      </c>
      <c r="E47" s="14">
        <f>SKU_Master!F47</f>
        <v>10</v>
      </c>
      <c r="F47" s="14">
        <f t="shared" si="6"/>
        <v>1.28</v>
      </c>
      <c r="G47" s="14">
        <f t="shared" si="7"/>
        <v>190</v>
      </c>
      <c r="H47" s="14">
        <f t="shared" si="8"/>
        <v>1030.0999999999999</v>
      </c>
      <c r="I47" s="19">
        <v>447</v>
      </c>
      <c r="J47" s="14" t="str">
        <f t="shared" si="9"/>
        <v>REORDER NOW</v>
      </c>
      <c r="K47" s="14">
        <f>SKU_Master!H47</f>
        <v>42</v>
      </c>
      <c r="L47" s="14">
        <f t="shared" si="10"/>
        <v>1423.1999999999998</v>
      </c>
      <c r="M47" s="14">
        <f t="shared" si="11"/>
        <v>34</v>
      </c>
    </row>
    <row r="48" spans="1:13" x14ac:dyDescent="0.3">
      <c r="A48" s="14" t="str">
        <f>SKU_Master!A48</f>
        <v>MDLZ0047</v>
      </c>
      <c r="B48" s="14" t="str">
        <f>ABC_Analysis!G48</f>
        <v>A</v>
      </c>
      <c r="C48" s="14">
        <f>Demand_Stats!C48</f>
        <v>104.16</v>
      </c>
      <c r="D48" s="14">
        <f>Demand_Stats!D48</f>
        <v>48.91</v>
      </c>
      <c r="E48" s="14">
        <f>SKU_Master!F48</f>
        <v>4</v>
      </c>
      <c r="F48" s="14">
        <f t="shared" si="6"/>
        <v>2.0499999999999998</v>
      </c>
      <c r="G48" s="14">
        <f t="shared" si="7"/>
        <v>200.5</v>
      </c>
      <c r="H48" s="14">
        <f t="shared" si="8"/>
        <v>617.1</v>
      </c>
      <c r="I48" s="19">
        <v>168</v>
      </c>
      <c r="J48" s="14" t="str">
        <f t="shared" si="9"/>
        <v>REORDER NOW</v>
      </c>
      <c r="K48" s="14">
        <f>SKU_Master!H48</f>
        <v>36</v>
      </c>
      <c r="L48" s="14">
        <f t="shared" si="10"/>
        <v>1490.6999999999998</v>
      </c>
      <c r="M48" s="14">
        <f t="shared" si="11"/>
        <v>42</v>
      </c>
    </row>
    <row r="49" spans="1:13" x14ac:dyDescent="0.3">
      <c r="A49" s="14" t="str">
        <f>SKU_Master!A49</f>
        <v>MDLZ0048</v>
      </c>
      <c r="B49" s="14" t="str">
        <f>ABC_Analysis!G49</f>
        <v>A</v>
      </c>
      <c r="C49" s="14">
        <f>Demand_Stats!C49</f>
        <v>86.61</v>
      </c>
      <c r="D49" s="14">
        <f>Demand_Stats!D49</f>
        <v>44.7</v>
      </c>
      <c r="E49" s="14">
        <f>SKU_Master!F49</f>
        <v>7</v>
      </c>
      <c r="F49" s="14">
        <f t="shared" si="6"/>
        <v>2.0499999999999998</v>
      </c>
      <c r="G49" s="14">
        <f t="shared" si="7"/>
        <v>242.4</v>
      </c>
      <c r="H49" s="14">
        <f t="shared" si="8"/>
        <v>848.7</v>
      </c>
      <c r="I49" s="19">
        <v>83</v>
      </c>
      <c r="J49" s="14" t="str">
        <f t="shared" si="9"/>
        <v>REORDER NOW</v>
      </c>
      <c r="K49" s="14">
        <f>SKU_Master!H49</f>
        <v>24</v>
      </c>
      <c r="L49" s="14">
        <f t="shared" si="10"/>
        <v>1631.8000000000002</v>
      </c>
      <c r="M49" s="14">
        <f t="shared" si="11"/>
        <v>68</v>
      </c>
    </row>
    <row r="50" spans="1:13" x14ac:dyDescent="0.3">
      <c r="A50" s="14" t="str">
        <f>SKU_Master!A50</f>
        <v>MDLZ0049</v>
      </c>
      <c r="B50" s="14" t="str">
        <f>ABC_Analysis!G50</f>
        <v>A</v>
      </c>
      <c r="C50" s="14">
        <f>Demand_Stats!C50</f>
        <v>114</v>
      </c>
      <c r="D50" s="14">
        <f>Demand_Stats!D50</f>
        <v>59.39</v>
      </c>
      <c r="E50" s="14">
        <f>SKU_Master!F50</f>
        <v>14</v>
      </c>
      <c r="F50" s="14">
        <f t="shared" si="6"/>
        <v>2.0499999999999998</v>
      </c>
      <c r="G50" s="14">
        <f t="shared" si="7"/>
        <v>455.5</v>
      </c>
      <c r="H50" s="14">
        <f t="shared" si="8"/>
        <v>2051.5</v>
      </c>
      <c r="I50" s="19">
        <v>497</v>
      </c>
      <c r="J50" s="14" t="str">
        <f t="shared" si="9"/>
        <v>REORDER NOW</v>
      </c>
      <c r="K50" s="14">
        <f>SKU_Master!H50</f>
        <v>30</v>
      </c>
      <c r="L50" s="14">
        <f t="shared" si="10"/>
        <v>2694.5</v>
      </c>
      <c r="M50" s="14">
        <f t="shared" si="11"/>
        <v>90</v>
      </c>
    </row>
    <row r="51" spans="1:13" x14ac:dyDescent="0.3">
      <c r="A51" s="14" t="str">
        <f>SKU_Master!A51</f>
        <v>MDLZ0050</v>
      </c>
      <c r="B51" s="14" t="str">
        <f>ABC_Analysis!G51</f>
        <v>A</v>
      </c>
      <c r="C51" s="14">
        <f>Demand_Stats!C51</f>
        <v>149.71</v>
      </c>
      <c r="D51" s="14">
        <f>Demand_Stats!D51</f>
        <v>96.15</v>
      </c>
      <c r="E51" s="14">
        <f>SKU_Master!F51</f>
        <v>2</v>
      </c>
      <c r="F51" s="14">
        <f t="shared" si="6"/>
        <v>2.0499999999999998</v>
      </c>
      <c r="G51" s="14">
        <f t="shared" si="7"/>
        <v>278.8</v>
      </c>
      <c r="H51" s="14">
        <f t="shared" si="8"/>
        <v>578.20000000000005</v>
      </c>
      <c r="I51" s="19">
        <v>143</v>
      </c>
      <c r="J51" s="14" t="str">
        <f t="shared" si="9"/>
        <v>REORDER NOW</v>
      </c>
      <c r="K51" s="14">
        <f>SKU_Master!H51</f>
        <v>48</v>
      </c>
      <c r="L51" s="14">
        <f t="shared" si="10"/>
        <v>1932.3000000000002</v>
      </c>
      <c r="M51" s="14">
        <f t="shared" si="11"/>
        <v>41</v>
      </c>
    </row>
    <row r="52" spans="1:13" x14ac:dyDescent="0.3">
      <c r="A52" s="14" t="str">
        <f>SKU_Master!A52</f>
        <v>MDLZ0051</v>
      </c>
      <c r="B52" s="14" t="str">
        <f>ABC_Analysis!G52</f>
        <v>A</v>
      </c>
      <c r="C52" s="14">
        <f>Demand_Stats!C52</f>
        <v>69.56</v>
      </c>
      <c r="D52" s="14">
        <f>Demand_Stats!D52</f>
        <v>38.17</v>
      </c>
      <c r="E52" s="14">
        <f>SKU_Master!F52</f>
        <v>2</v>
      </c>
      <c r="F52" s="14">
        <f t="shared" si="6"/>
        <v>2.0499999999999998</v>
      </c>
      <c r="G52" s="14">
        <f t="shared" si="7"/>
        <v>110.7</v>
      </c>
      <c r="H52" s="14">
        <f t="shared" si="8"/>
        <v>249.8</v>
      </c>
      <c r="I52" s="19">
        <v>176</v>
      </c>
      <c r="J52" s="14" t="str">
        <f t="shared" si="9"/>
        <v>REORDER NOW</v>
      </c>
      <c r="K52" s="14">
        <f>SKU_Master!H52</f>
        <v>36</v>
      </c>
      <c r="L52" s="14">
        <f t="shared" si="10"/>
        <v>769.40000000000009</v>
      </c>
      <c r="M52" s="14">
        <f t="shared" si="11"/>
        <v>22</v>
      </c>
    </row>
    <row r="53" spans="1:13" x14ac:dyDescent="0.3">
      <c r="A53" s="14" t="str">
        <f>SKU_Master!A53</f>
        <v>MDLZ0052</v>
      </c>
      <c r="B53" s="14" t="str">
        <f>ABC_Analysis!G53</f>
        <v>C</v>
      </c>
      <c r="C53" s="14">
        <f>Demand_Stats!C53</f>
        <v>64.17</v>
      </c>
      <c r="D53" s="14">
        <f>Demand_Stats!D53</f>
        <v>31.4</v>
      </c>
      <c r="E53" s="14">
        <f>SKU_Master!F53</f>
        <v>7</v>
      </c>
      <c r="F53" s="14">
        <f t="shared" si="6"/>
        <v>1.28</v>
      </c>
      <c r="G53" s="14">
        <f t="shared" si="7"/>
        <v>106.3</v>
      </c>
      <c r="H53" s="14">
        <f t="shared" si="8"/>
        <v>555.5</v>
      </c>
      <c r="I53" s="19">
        <v>628</v>
      </c>
      <c r="J53" s="14" t="str">
        <f t="shared" si="9"/>
        <v>OK</v>
      </c>
      <c r="K53" s="14">
        <f>SKU_Master!H53</f>
        <v>42</v>
      </c>
      <c r="L53" s="14">
        <f t="shared" si="10"/>
        <v>569.20000000000005</v>
      </c>
      <c r="M53" s="14">
        <f t="shared" si="11"/>
        <v>14</v>
      </c>
    </row>
    <row r="54" spans="1:13" x14ac:dyDescent="0.3">
      <c r="A54" s="14" t="str">
        <f>SKU_Master!A54</f>
        <v>MDLZ0053</v>
      </c>
      <c r="B54" s="14" t="str">
        <f>ABC_Analysis!G54</f>
        <v>A</v>
      </c>
      <c r="C54" s="14">
        <f>Demand_Stats!C54</f>
        <v>122.46</v>
      </c>
      <c r="D54" s="14">
        <f>Demand_Stats!D54</f>
        <v>49.3</v>
      </c>
      <c r="E54" s="14">
        <f>SKU_Master!F54</f>
        <v>4</v>
      </c>
      <c r="F54" s="14">
        <f t="shared" si="6"/>
        <v>2.0499999999999998</v>
      </c>
      <c r="G54" s="14">
        <f t="shared" si="7"/>
        <v>202.1</v>
      </c>
      <c r="H54" s="14">
        <f t="shared" si="8"/>
        <v>691.9</v>
      </c>
      <c r="I54" s="19">
        <v>327</v>
      </c>
      <c r="J54" s="14" t="str">
        <f t="shared" si="9"/>
        <v>REORDER NOW</v>
      </c>
      <c r="K54" s="14">
        <f>SKU_Master!H54</f>
        <v>36</v>
      </c>
      <c r="L54" s="14">
        <f t="shared" si="10"/>
        <v>1589.5</v>
      </c>
      <c r="M54" s="14">
        <f t="shared" si="11"/>
        <v>45</v>
      </c>
    </row>
    <row r="55" spans="1:13" x14ac:dyDescent="0.3">
      <c r="A55" s="14" t="str">
        <f>SKU_Master!A55</f>
        <v>MDLZ0054</v>
      </c>
      <c r="B55" s="14" t="str">
        <f>ABC_Analysis!G55</f>
        <v>C</v>
      </c>
      <c r="C55" s="14">
        <f>Demand_Stats!C55</f>
        <v>47.48</v>
      </c>
      <c r="D55" s="14">
        <f>Demand_Stats!D55</f>
        <v>20.38</v>
      </c>
      <c r="E55" s="14">
        <f>SKU_Master!F55</f>
        <v>4</v>
      </c>
      <c r="F55" s="14">
        <f t="shared" si="6"/>
        <v>1.28</v>
      </c>
      <c r="G55" s="14">
        <f t="shared" si="7"/>
        <v>52.2</v>
      </c>
      <c r="H55" s="14">
        <f t="shared" si="8"/>
        <v>242.1</v>
      </c>
      <c r="I55" s="19">
        <v>225</v>
      </c>
      <c r="J55" s="14" t="str">
        <f t="shared" si="9"/>
        <v>REORDER NOW</v>
      </c>
      <c r="K55" s="14">
        <f>SKU_Master!H55</f>
        <v>36</v>
      </c>
      <c r="L55" s="14">
        <f t="shared" si="10"/>
        <v>491.9</v>
      </c>
      <c r="M55" s="14">
        <f t="shared" si="11"/>
        <v>14</v>
      </c>
    </row>
    <row r="56" spans="1:13" x14ac:dyDescent="0.3">
      <c r="A56" s="14" t="str">
        <f>SKU_Master!A56</f>
        <v>MDLZ0055</v>
      </c>
      <c r="B56" s="14" t="str">
        <f>ABC_Analysis!G56</f>
        <v>C</v>
      </c>
      <c r="C56" s="14">
        <f>Demand_Stats!C56</f>
        <v>37.369999999999997</v>
      </c>
      <c r="D56" s="14">
        <f>Demand_Stats!D56</f>
        <v>17.850000000000001</v>
      </c>
      <c r="E56" s="14">
        <f>SKU_Master!F56</f>
        <v>14</v>
      </c>
      <c r="F56" s="14">
        <f t="shared" si="6"/>
        <v>1.28</v>
      </c>
      <c r="G56" s="14">
        <f t="shared" si="7"/>
        <v>85.5</v>
      </c>
      <c r="H56" s="14">
        <f t="shared" si="8"/>
        <v>608.70000000000005</v>
      </c>
      <c r="I56" s="19">
        <v>315</v>
      </c>
      <c r="J56" s="14" t="str">
        <f t="shared" si="9"/>
        <v>REORDER NOW</v>
      </c>
      <c r="K56" s="14">
        <f>SKU_Master!H56</f>
        <v>42</v>
      </c>
      <c r="L56" s="14">
        <f t="shared" si="10"/>
        <v>667.40000000000009</v>
      </c>
      <c r="M56" s="14">
        <f t="shared" si="11"/>
        <v>16</v>
      </c>
    </row>
    <row r="57" spans="1:13" x14ac:dyDescent="0.3">
      <c r="A57" s="14" t="str">
        <f>SKU_Master!A57</f>
        <v>MDLZ0056</v>
      </c>
      <c r="B57" s="14" t="str">
        <f>ABC_Analysis!G57</f>
        <v>B</v>
      </c>
      <c r="C57" s="14">
        <f>Demand_Stats!C57</f>
        <v>64.58</v>
      </c>
      <c r="D57" s="14">
        <f>Demand_Stats!D57</f>
        <v>29.45</v>
      </c>
      <c r="E57" s="14">
        <f>SKU_Master!F57</f>
        <v>7</v>
      </c>
      <c r="F57" s="14">
        <f t="shared" si="6"/>
        <v>1.65</v>
      </c>
      <c r="G57" s="14">
        <f t="shared" si="7"/>
        <v>128.6</v>
      </c>
      <c r="H57" s="14">
        <f t="shared" si="8"/>
        <v>580.70000000000005</v>
      </c>
      <c r="I57" s="19">
        <v>2</v>
      </c>
      <c r="J57" s="14" t="str">
        <f t="shared" si="9"/>
        <v>REORDER NOW</v>
      </c>
      <c r="K57" s="14">
        <f>SKU_Master!H57</f>
        <v>30</v>
      </c>
      <c r="L57" s="14">
        <f t="shared" si="10"/>
        <v>1224.5</v>
      </c>
      <c r="M57" s="14">
        <f t="shared" si="11"/>
        <v>41</v>
      </c>
    </row>
    <row r="58" spans="1:13" x14ac:dyDescent="0.3">
      <c r="A58" s="14" t="str">
        <f>SKU_Master!A58</f>
        <v>MDLZ0057</v>
      </c>
      <c r="B58" s="14" t="str">
        <f>ABC_Analysis!G58</f>
        <v>B</v>
      </c>
      <c r="C58" s="14">
        <f>Demand_Stats!C58</f>
        <v>42.62</v>
      </c>
      <c r="D58" s="14">
        <f>Demand_Stats!D58</f>
        <v>19.97</v>
      </c>
      <c r="E58" s="14">
        <f>SKU_Master!F58</f>
        <v>2</v>
      </c>
      <c r="F58" s="14">
        <f t="shared" si="6"/>
        <v>1.65</v>
      </c>
      <c r="G58" s="14">
        <f t="shared" si="7"/>
        <v>46.6</v>
      </c>
      <c r="H58" s="14">
        <f t="shared" si="8"/>
        <v>131.80000000000001</v>
      </c>
      <c r="I58" s="19">
        <v>22</v>
      </c>
      <c r="J58" s="14" t="str">
        <f t="shared" si="9"/>
        <v>REORDER NOW</v>
      </c>
      <c r="K58" s="14">
        <f>SKU_Master!H58</f>
        <v>24</v>
      </c>
      <c r="L58" s="14">
        <f t="shared" si="10"/>
        <v>536</v>
      </c>
      <c r="M58" s="14">
        <f t="shared" si="11"/>
        <v>23</v>
      </c>
    </row>
    <row r="59" spans="1:13" x14ac:dyDescent="0.3">
      <c r="A59" s="14" t="str">
        <f>SKU_Master!A59</f>
        <v>MDLZ0058</v>
      </c>
      <c r="B59" s="14" t="str">
        <f>ABC_Analysis!G59</f>
        <v>A</v>
      </c>
      <c r="C59" s="14">
        <f>Demand_Stats!C59</f>
        <v>115.83</v>
      </c>
      <c r="D59" s="14">
        <f>Demand_Stats!D59</f>
        <v>64.69</v>
      </c>
      <c r="E59" s="14">
        <f>SKU_Master!F59</f>
        <v>7</v>
      </c>
      <c r="F59" s="14">
        <f t="shared" si="6"/>
        <v>2.0499999999999998</v>
      </c>
      <c r="G59" s="14">
        <f t="shared" si="7"/>
        <v>350.9</v>
      </c>
      <c r="H59" s="14">
        <f t="shared" si="8"/>
        <v>1161.7</v>
      </c>
      <c r="I59" s="19">
        <v>412</v>
      </c>
      <c r="J59" s="14" t="str">
        <f t="shared" si="9"/>
        <v>REORDER NOW</v>
      </c>
      <c r="K59" s="14">
        <f>SKU_Master!H59</f>
        <v>42</v>
      </c>
      <c r="L59" s="14">
        <f t="shared" si="10"/>
        <v>1908</v>
      </c>
      <c r="M59" s="14">
        <f t="shared" si="11"/>
        <v>46</v>
      </c>
    </row>
    <row r="60" spans="1:13" x14ac:dyDescent="0.3">
      <c r="A60" s="14" t="str">
        <f>SKU_Master!A60</f>
        <v>MDLZ0059</v>
      </c>
      <c r="B60" s="14" t="str">
        <f>ABC_Analysis!G60</f>
        <v>B</v>
      </c>
      <c r="C60" s="14">
        <f>Demand_Stats!C60</f>
        <v>42.26</v>
      </c>
      <c r="D60" s="14">
        <f>Demand_Stats!D60</f>
        <v>23.64</v>
      </c>
      <c r="E60" s="14">
        <f>SKU_Master!F60</f>
        <v>5</v>
      </c>
      <c r="F60" s="14">
        <f t="shared" si="6"/>
        <v>1.65</v>
      </c>
      <c r="G60" s="14">
        <f t="shared" si="7"/>
        <v>87.2</v>
      </c>
      <c r="H60" s="14">
        <f t="shared" si="8"/>
        <v>298.5</v>
      </c>
      <c r="I60" s="19">
        <v>209</v>
      </c>
      <c r="J60" s="14" t="str">
        <f t="shared" si="9"/>
        <v>REORDER NOW</v>
      </c>
      <c r="K60" s="14">
        <f>SKU_Master!H60</f>
        <v>30</v>
      </c>
      <c r="L60" s="14">
        <f t="shared" si="10"/>
        <v>512.09999999999991</v>
      </c>
      <c r="M60" s="14">
        <f t="shared" si="11"/>
        <v>18</v>
      </c>
    </row>
    <row r="61" spans="1:13" x14ac:dyDescent="0.3">
      <c r="A61" s="14" t="str">
        <f>SKU_Master!A61</f>
        <v>MDLZ0060</v>
      </c>
      <c r="B61" s="14" t="str">
        <f>ABC_Analysis!G61</f>
        <v>C</v>
      </c>
      <c r="C61" s="14">
        <f>Demand_Stats!C61</f>
        <v>98.13</v>
      </c>
      <c r="D61" s="14">
        <f>Demand_Stats!D61</f>
        <v>40.590000000000003</v>
      </c>
      <c r="E61" s="14">
        <f>SKU_Master!F61</f>
        <v>4</v>
      </c>
      <c r="F61" s="14">
        <f t="shared" si="6"/>
        <v>1.28</v>
      </c>
      <c r="G61" s="14">
        <f t="shared" si="7"/>
        <v>103.9</v>
      </c>
      <c r="H61" s="14">
        <f t="shared" si="8"/>
        <v>496.4</v>
      </c>
      <c r="I61" s="19">
        <v>97</v>
      </c>
      <c r="J61" s="14" t="str">
        <f t="shared" si="9"/>
        <v>REORDER NOW</v>
      </c>
      <c r="K61" s="14">
        <f>SKU_Master!H61</f>
        <v>48</v>
      </c>
      <c r="L61" s="14">
        <f t="shared" si="10"/>
        <v>1380.6999999999998</v>
      </c>
      <c r="M61" s="14">
        <f t="shared" si="11"/>
        <v>29</v>
      </c>
    </row>
    <row r="62" spans="1:13" x14ac:dyDescent="0.3">
      <c r="A62" s="14" t="str">
        <f>SKU_Master!A62</f>
        <v>MDLZ0061</v>
      </c>
      <c r="B62" s="14" t="str">
        <f>ABC_Analysis!G62</f>
        <v>A</v>
      </c>
      <c r="C62" s="14">
        <f>Demand_Stats!C62</f>
        <v>26.84</v>
      </c>
      <c r="D62" s="14">
        <f>Demand_Stats!D62</f>
        <v>16.57</v>
      </c>
      <c r="E62" s="14">
        <f>SKU_Master!F62</f>
        <v>7</v>
      </c>
      <c r="F62" s="14">
        <f t="shared" si="6"/>
        <v>2.0499999999999998</v>
      </c>
      <c r="G62" s="14">
        <f t="shared" si="7"/>
        <v>89.9</v>
      </c>
      <c r="H62" s="14">
        <f t="shared" si="8"/>
        <v>277.8</v>
      </c>
      <c r="I62" s="19">
        <v>32</v>
      </c>
      <c r="J62" s="14" t="str">
        <f t="shared" si="9"/>
        <v>REORDER NOW</v>
      </c>
      <c r="K62" s="14">
        <f>SKU_Master!H62</f>
        <v>18</v>
      </c>
      <c r="L62" s="14">
        <f t="shared" si="10"/>
        <v>514.20000000000005</v>
      </c>
      <c r="M62" s="14">
        <f t="shared" si="11"/>
        <v>29</v>
      </c>
    </row>
    <row r="63" spans="1:13" x14ac:dyDescent="0.3">
      <c r="A63" s="14" t="str">
        <f>SKU_Master!A63</f>
        <v>MDLZ0062</v>
      </c>
      <c r="B63" s="14" t="str">
        <f>ABC_Analysis!G63</f>
        <v>A</v>
      </c>
      <c r="C63" s="14">
        <f>Demand_Stats!C63</f>
        <v>14.83</v>
      </c>
      <c r="D63" s="14">
        <f>Demand_Stats!D63</f>
        <v>8.6199999999999992</v>
      </c>
      <c r="E63" s="14">
        <f>SKU_Master!F63</f>
        <v>4</v>
      </c>
      <c r="F63" s="14">
        <f t="shared" si="6"/>
        <v>2.0499999999999998</v>
      </c>
      <c r="G63" s="14">
        <f t="shared" si="7"/>
        <v>35.299999999999997</v>
      </c>
      <c r="H63" s="14">
        <f t="shared" si="8"/>
        <v>94.6</v>
      </c>
      <c r="I63" s="19">
        <v>32</v>
      </c>
      <c r="J63" s="14" t="str">
        <f t="shared" si="9"/>
        <v>REORDER NOW</v>
      </c>
      <c r="K63" s="14">
        <f>SKU_Master!H63</f>
        <v>24</v>
      </c>
      <c r="L63" s="14">
        <f t="shared" si="10"/>
        <v>210.9</v>
      </c>
      <c r="M63" s="14">
        <f t="shared" si="11"/>
        <v>9</v>
      </c>
    </row>
    <row r="64" spans="1:13" x14ac:dyDescent="0.3">
      <c r="A64" s="14" t="str">
        <f>SKU_Master!A64</f>
        <v>MDLZ0063</v>
      </c>
      <c r="B64" s="14" t="str">
        <f>ABC_Analysis!G64</f>
        <v>A</v>
      </c>
      <c r="C64" s="14">
        <f>Demand_Stats!C64</f>
        <v>32</v>
      </c>
      <c r="D64" s="14">
        <f>Demand_Stats!D64</f>
        <v>15.4</v>
      </c>
      <c r="E64" s="14">
        <f>SKU_Master!F64</f>
        <v>4</v>
      </c>
      <c r="F64" s="14">
        <f t="shared" si="6"/>
        <v>2.0499999999999998</v>
      </c>
      <c r="G64" s="14">
        <f t="shared" si="7"/>
        <v>63.1</v>
      </c>
      <c r="H64" s="14">
        <f t="shared" si="8"/>
        <v>191.1</v>
      </c>
      <c r="I64" s="19">
        <v>39</v>
      </c>
      <c r="J64" s="14" t="str">
        <f t="shared" si="9"/>
        <v>REORDER NOW</v>
      </c>
      <c r="K64" s="14">
        <f>SKU_Master!H64</f>
        <v>24</v>
      </c>
      <c r="L64" s="14">
        <f t="shared" si="10"/>
        <v>472.1</v>
      </c>
      <c r="M64" s="14">
        <f t="shared" si="11"/>
        <v>20</v>
      </c>
    </row>
    <row r="65" spans="1:13" x14ac:dyDescent="0.3">
      <c r="A65" s="14" t="str">
        <f>SKU_Master!A65</f>
        <v>MDLZ0064</v>
      </c>
      <c r="B65" s="14" t="str">
        <f>ABC_Analysis!G65</f>
        <v>A</v>
      </c>
      <c r="C65" s="14">
        <f>Demand_Stats!C65</f>
        <v>37.39</v>
      </c>
      <c r="D65" s="14">
        <f>Demand_Stats!D65</f>
        <v>18.579999999999998</v>
      </c>
      <c r="E65" s="14">
        <f>SKU_Master!F65</f>
        <v>2</v>
      </c>
      <c r="F65" s="14">
        <f t="shared" si="6"/>
        <v>2.0499999999999998</v>
      </c>
      <c r="G65" s="14">
        <f t="shared" si="7"/>
        <v>53.9</v>
      </c>
      <c r="H65" s="14">
        <f t="shared" si="8"/>
        <v>128.69999999999999</v>
      </c>
      <c r="I65" s="19">
        <v>96</v>
      </c>
      <c r="J65" s="14" t="str">
        <f t="shared" si="9"/>
        <v>REORDER NOW</v>
      </c>
      <c r="K65" s="14">
        <f>SKU_Master!H65</f>
        <v>12</v>
      </c>
      <c r="L65" s="14">
        <f t="shared" si="10"/>
        <v>406.59999999999997</v>
      </c>
      <c r="M65" s="14">
        <f t="shared" si="11"/>
        <v>34</v>
      </c>
    </row>
    <row r="66" spans="1:13" x14ac:dyDescent="0.3">
      <c r="A66" s="14" t="str">
        <f>SKU_Master!A66</f>
        <v>MDLZ0065</v>
      </c>
      <c r="B66" s="14" t="str">
        <f>ABC_Analysis!G66</f>
        <v>A</v>
      </c>
      <c r="C66" s="14">
        <f>Demand_Stats!C66</f>
        <v>14.88</v>
      </c>
      <c r="D66" s="14">
        <f>Demand_Stats!D66</f>
        <v>7.98</v>
      </c>
      <c r="E66" s="14">
        <f>SKU_Master!F66</f>
        <v>3</v>
      </c>
      <c r="F66" s="14">
        <f t="shared" ref="F66:F97" si="12">IF(B66="A",2.05,IF(B66="B",1.65,1.28))</f>
        <v>2.0499999999999998</v>
      </c>
      <c r="G66" s="14">
        <f t="shared" ref="G66:G97" si="13">ROUND(F66*D66*SQRT(E66),1)</f>
        <v>28.3</v>
      </c>
      <c r="H66" s="14">
        <f t="shared" ref="H66:H97" si="14">ROUND((C66*E66)+G66,1)</f>
        <v>72.900000000000006</v>
      </c>
      <c r="I66" s="19">
        <v>13</v>
      </c>
      <c r="J66" s="14" t="str">
        <f t="shared" ref="J66:J97" si="15">IF(I66&lt;=H66,"REORDER NOW","OK")</f>
        <v>REORDER NOW</v>
      </c>
      <c r="K66" s="14">
        <f>SKU_Master!H66</f>
        <v>18</v>
      </c>
      <c r="L66" s="14">
        <f t="shared" ref="L66:L97" si="16">MAX(0,(H66+C66*10)-I66)</f>
        <v>208.70000000000002</v>
      </c>
      <c r="M66" s="14">
        <f t="shared" ref="M66:M97" si="17">IF(K66=0,0,ROUNDUP(L66/K66,0))</f>
        <v>12</v>
      </c>
    </row>
    <row r="67" spans="1:13" x14ac:dyDescent="0.3">
      <c r="A67" s="14" t="str">
        <f>SKU_Master!A67</f>
        <v>MDLZ0066</v>
      </c>
      <c r="B67" s="14" t="str">
        <f>ABC_Analysis!G67</f>
        <v>A</v>
      </c>
      <c r="C67" s="14">
        <f>Demand_Stats!C67</f>
        <v>30.98</v>
      </c>
      <c r="D67" s="14">
        <f>Demand_Stats!D67</f>
        <v>14.95</v>
      </c>
      <c r="E67" s="14">
        <f>SKU_Master!F67</f>
        <v>7</v>
      </c>
      <c r="F67" s="14">
        <f t="shared" si="12"/>
        <v>2.0499999999999998</v>
      </c>
      <c r="G67" s="14">
        <f t="shared" si="13"/>
        <v>81.099999999999994</v>
      </c>
      <c r="H67" s="14">
        <f t="shared" si="14"/>
        <v>298</v>
      </c>
      <c r="I67" s="19">
        <v>63</v>
      </c>
      <c r="J67" s="14" t="str">
        <f t="shared" si="15"/>
        <v>REORDER NOW</v>
      </c>
      <c r="K67" s="14">
        <f>SKU_Master!H67</f>
        <v>12</v>
      </c>
      <c r="L67" s="14">
        <f t="shared" si="16"/>
        <v>544.79999999999995</v>
      </c>
      <c r="M67" s="14">
        <f t="shared" si="17"/>
        <v>46</v>
      </c>
    </row>
    <row r="68" spans="1:13" x14ac:dyDescent="0.3">
      <c r="A68" s="14" t="str">
        <f>SKU_Master!A68</f>
        <v>MDLZ0067</v>
      </c>
      <c r="B68" s="14" t="str">
        <f>ABC_Analysis!G68</f>
        <v>A</v>
      </c>
      <c r="C68" s="14">
        <f>Demand_Stats!C68</f>
        <v>22.12</v>
      </c>
      <c r="D68" s="14">
        <f>Demand_Stats!D68</f>
        <v>11.05</v>
      </c>
      <c r="E68" s="14">
        <f>SKU_Master!F68</f>
        <v>5</v>
      </c>
      <c r="F68" s="14">
        <f t="shared" si="12"/>
        <v>2.0499999999999998</v>
      </c>
      <c r="G68" s="14">
        <f t="shared" si="13"/>
        <v>50.7</v>
      </c>
      <c r="H68" s="14">
        <f t="shared" si="14"/>
        <v>161.30000000000001</v>
      </c>
      <c r="I68" s="19">
        <v>101</v>
      </c>
      <c r="J68" s="14" t="str">
        <f t="shared" si="15"/>
        <v>REORDER NOW</v>
      </c>
      <c r="K68" s="14">
        <f>SKU_Master!H68</f>
        <v>12</v>
      </c>
      <c r="L68" s="14">
        <f t="shared" si="16"/>
        <v>281.5</v>
      </c>
      <c r="M68" s="14">
        <f t="shared" si="17"/>
        <v>24</v>
      </c>
    </row>
    <row r="69" spans="1:13" x14ac:dyDescent="0.3">
      <c r="A69" s="14" t="str">
        <f>SKU_Master!A69</f>
        <v>MDLZ0068</v>
      </c>
      <c r="B69" s="14" t="str">
        <f>ABC_Analysis!G69</f>
        <v>A</v>
      </c>
      <c r="C69" s="14">
        <f>Demand_Stats!C69</f>
        <v>14.03</v>
      </c>
      <c r="D69" s="14">
        <f>Demand_Stats!D69</f>
        <v>6.97</v>
      </c>
      <c r="E69" s="14">
        <f>SKU_Master!F69</f>
        <v>5</v>
      </c>
      <c r="F69" s="14">
        <f t="shared" si="12"/>
        <v>2.0499999999999998</v>
      </c>
      <c r="G69" s="14">
        <f t="shared" si="13"/>
        <v>32</v>
      </c>
      <c r="H69" s="14">
        <f t="shared" si="14"/>
        <v>102.2</v>
      </c>
      <c r="I69" s="19">
        <v>24</v>
      </c>
      <c r="J69" s="14" t="str">
        <f t="shared" si="15"/>
        <v>REORDER NOW</v>
      </c>
      <c r="K69" s="14">
        <f>SKU_Master!H69</f>
        <v>24</v>
      </c>
      <c r="L69" s="14">
        <f t="shared" si="16"/>
        <v>218.5</v>
      </c>
      <c r="M69" s="14">
        <f t="shared" si="17"/>
        <v>10</v>
      </c>
    </row>
    <row r="70" spans="1:13" x14ac:dyDescent="0.3">
      <c r="A70" s="14" t="str">
        <f>SKU_Master!A70</f>
        <v>MDLZ0069</v>
      </c>
      <c r="B70" s="14" t="str">
        <f>ABC_Analysis!G70</f>
        <v>B</v>
      </c>
      <c r="C70" s="14">
        <f>Demand_Stats!C70</f>
        <v>18.07</v>
      </c>
      <c r="D70" s="14">
        <f>Demand_Stats!D70</f>
        <v>9.92</v>
      </c>
      <c r="E70" s="14">
        <f>SKU_Master!F70</f>
        <v>7</v>
      </c>
      <c r="F70" s="14">
        <f t="shared" si="12"/>
        <v>1.65</v>
      </c>
      <c r="G70" s="14">
        <f t="shared" si="13"/>
        <v>43.3</v>
      </c>
      <c r="H70" s="14">
        <f t="shared" si="14"/>
        <v>169.8</v>
      </c>
      <c r="I70" s="19">
        <v>222</v>
      </c>
      <c r="J70" s="14" t="str">
        <f t="shared" si="15"/>
        <v>OK</v>
      </c>
      <c r="K70" s="14">
        <f>SKU_Master!H70</f>
        <v>18</v>
      </c>
      <c r="L70" s="14">
        <f t="shared" si="16"/>
        <v>128.5</v>
      </c>
      <c r="M70" s="14">
        <f t="shared" si="17"/>
        <v>8</v>
      </c>
    </row>
    <row r="71" spans="1:13" x14ac:dyDescent="0.3">
      <c r="A71" s="14" t="str">
        <f>SKU_Master!A71</f>
        <v>MDLZ0070</v>
      </c>
      <c r="B71" s="14" t="str">
        <f>ABC_Analysis!G71</f>
        <v>A</v>
      </c>
      <c r="C71" s="14">
        <f>Demand_Stats!C71</f>
        <v>39.369999999999997</v>
      </c>
      <c r="D71" s="14">
        <f>Demand_Stats!D71</f>
        <v>19.97</v>
      </c>
      <c r="E71" s="14">
        <f>SKU_Master!F71</f>
        <v>7</v>
      </c>
      <c r="F71" s="14">
        <f t="shared" si="12"/>
        <v>2.0499999999999998</v>
      </c>
      <c r="G71" s="14">
        <f t="shared" si="13"/>
        <v>108.3</v>
      </c>
      <c r="H71" s="14">
        <f t="shared" si="14"/>
        <v>383.9</v>
      </c>
      <c r="I71" s="19">
        <v>58</v>
      </c>
      <c r="J71" s="14" t="str">
        <f t="shared" si="15"/>
        <v>REORDER NOW</v>
      </c>
      <c r="K71" s="14">
        <f>SKU_Master!H71</f>
        <v>24</v>
      </c>
      <c r="L71" s="14">
        <f t="shared" si="16"/>
        <v>719.59999999999991</v>
      </c>
      <c r="M71" s="14">
        <f t="shared" si="17"/>
        <v>30</v>
      </c>
    </row>
    <row r="72" spans="1:13" x14ac:dyDescent="0.3">
      <c r="A72" s="14" t="str">
        <f>SKU_Master!A72</f>
        <v>MDLZ0071</v>
      </c>
      <c r="B72" s="14" t="str">
        <f>ABC_Analysis!G72</f>
        <v>A</v>
      </c>
      <c r="C72" s="14">
        <f>Demand_Stats!C72</f>
        <v>13.81</v>
      </c>
      <c r="D72" s="14">
        <f>Demand_Stats!D72</f>
        <v>7.26</v>
      </c>
      <c r="E72" s="14">
        <f>SKU_Master!F72</f>
        <v>5</v>
      </c>
      <c r="F72" s="14">
        <f t="shared" si="12"/>
        <v>2.0499999999999998</v>
      </c>
      <c r="G72" s="14">
        <f t="shared" si="13"/>
        <v>33.299999999999997</v>
      </c>
      <c r="H72" s="14">
        <f t="shared" si="14"/>
        <v>102.4</v>
      </c>
      <c r="I72" s="19">
        <v>49</v>
      </c>
      <c r="J72" s="14" t="str">
        <f t="shared" si="15"/>
        <v>REORDER NOW</v>
      </c>
      <c r="K72" s="14">
        <f>SKU_Master!H72</f>
        <v>12</v>
      </c>
      <c r="L72" s="14">
        <f t="shared" si="16"/>
        <v>191.5</v>
      </c>
      <c r="M72" s="14">
        <f t="shared" si="17"/>
        <v>16</v>
      </c>
    </row>
    <row r="73" spans="1:13" x14ac:dyDescent="0.3">
      <c r="A73" s="14" t="str">
        <f>SKU_Master!A73</f>
        <v>MDLZ0072</v>
      </c>
      <c r="B73" s="14" t="str">
        <f>ABC_Analysis!G73</f>
        <v>B</v>
      </c>
      <c r="C73" s="14">
        <f>Demand_Stats!C73</f>
        <v>11.54</v>
      </c>
      <c r="D73" s="14">
        <f>Demand_Stats!D73</f>
        <v>7.4</v>
      </c>
      <c r="E73" s="14">
        <f>SKU_Master!F73</f>
        <v>10</v>
      </c>
      <c r="F73" s="14">
        <f t="shared" si="12"/>
        <v>1.65</v>
      </c>
      <c r="G73" s="14">
        <f t="shared" si="13"/>
        <v>38.6</v>
      </c>
      <c r="H73" s="14">
        <f t="shared" si="14"/>
        <v>154</v>
      </c>
      <c r="I73" s="19">
        <v>5</v>
      </c>
      <c r="J73" s="14" t="str">
        <f t="shared" si="15"/>
        <v>REORDER NOW</v>
      </c>
      <c r="K73" s="14">
        <f>SKU_Master!H73</f>
        <v>24</v>
      </c>
      <c r="L73" s="14">
        <f t="shared" si="16"/>
        <v>264.39999999999998</v>
      </c>
      <c r="M73" s="14">
        <f t="shared" si="17"/>
        <v>12</v>
      </c>
    </row>
    <row r="74" spans="1:13" x14ac:dyDescent="0.3">
      <c r="A74" s="14" t="str">
        <f>SKU_Master!A74</f>
        <v>MDLZ0073</v>
      </c>
      <c r="B74" s="14" t="str">
        <f>ABC_Analysis!G74</f>
        <v>A</v>
      </c>
      <c r="C74" s="14">
        <f>Demand_Stats!C74</f>
        <v>18.09</v>
      </c>
      <c r="D74" s="14">
        <f>Demand_Stats!D74</f>
        <v>9.42</v>
      </c>
      <c r="E74" s="14">
        <f>SKU_Master!F74</f>
        <v>4</v>
      </c>
      <c r="F74" s="14">
        <f t="shared" si="12"/>
        <v>2.0499999999999998</v>
      </c>
      <c r="G74" s="14">
        <f t="shared" si="13"/>
        <v>38.6</v>
      </c>
      <c r="H74" s="14">
        <f t="shared" si="14"/>
        <v>111</v>
      </c>
      <c r="I74" s="19">
        <v>141</v>
      </c>
      <c r="J74" s="14" t="str">
        <f t="shared" si="15"/>
        <v>OK</v>
      </c>
      <c r="K74" s="14">
        <f>SKU_Master!H74</f>
        <v>24</v>
      </c>
      <c r="L74" s="14">
        <f t="shared" si="16"/>
        <v>150.89999999999998</v>
      </c>
      <c r="M74" s="14">
        <f t="shared" si="17"/>
        <v>7</v>
      </c>
    </row>
    <row r="75" spans="1:13" x14ac:dyDescent="0.3">
      <c r="A75" s="14" t="str">
        <f>SKU_Master!A75</f>
        <v>MDLZ0074</v>
      </c>
      <c r="B75" s="14" t="str">
        <f>ABC_Analysis!G75</f>
        <v>A</v>
      </c>
      <c r="C75" s="14">
        <f>Demand_Stats!C75</f>
        <v>25.86</v>
      </c>
      <c r="D75" s="14">
        <f>Demand_Stats!D75</f>
        <v>14.71</v>
      </c>
      <c r="E75" s="14">
        <f>SKU_Master!F75</f>
        <v>4</v>
      </c>
      <c r="F75" s="14">
        <f t="shared" si="12"/>
        <v>2.0499999999999998</v>
      </c>
      <c r="G75" s="14">
        <f t="shared" si="13"/>
        <v>60.3</v>
      </c>
      <c r="H75" s="14">
        <f t="shared" si="14"/>
        <v>163.69999999999999</v>
      </c>
      <c r="I75" s="19">
        <v>26</v>
      </c>
      <c r="J75" s="14" t="str">
        <f t="shared" si="15"/>
        <v>REORDER NOW</v>
      </c>
      <c r="K75" s="14">
        <f>SKU_Master!H75</f>
        <v>24</v>
      </c>
      <c r="L75" s="14">
        <f t="shared" si="16"/>
        <v>396.3</v>
      </c>
      <c r="M75" s="14">
        <f t="shared" si="17"/>
        <v>17</v>
      </c>
    </row>
    <row r="76" spans="1:13" x14ac:dyDescent="0.3">
      <c r="A76" s="14" t="str">
        <f>SKU_Master!A76</f>
        <v>MDLZ0075</v>
      </c>
      <c r="B76" s="14" t="str">
        <f>ABC_Analysis!G76</f>
        <v>A</v>
      </c>
      <c r="C76" s="14">
        <f>Demand_Stats!C76</f>
        <v>18.63</v>
      </c>
      <c r="D76" s="14">
        <f>Demand_Stats!D76</f>
        <v>9.2200000000000006</v>
      </c>
      <c r="E76" s="14">
        <f>SKU_Master!F76</f>
        <v>14</v>
      </c>
      <c r="F76" s="14">
        <f t="shared" si="12"/>
        <v>2.0499999999999998</v>
      </c>
      <c r="G76" s="14">
        <f t="shared" si="13"/>
        <v>70.7</v>
      </c>
      <c r="H76" s="14">
        <f t="shared" si="14"/>
        <v>331.5</v>
      </c>
      <c r="I76" s="19">
        <v>92</v>
      </c>
      <c r="J76" s="14" t="str">
        <f t="shared" si="15"/>
        <v>REORDER NOW</v>
      </c>
      <c r="K76" s="14">
        <f>SKU_Master!H76</f>
        <v>18</v>
      </c>
      <c r="L76" s="14">
        <f t="shared" si="16"/>
        <v>425.79999999999995</v>
      </c>
      <c r="M76" s="14">
        <f t="shared" si="17"/>
        <v>24</v>
      </c>
    </row>
    <row r="77" spans="1:13" x14ac:dyDescent="0.3">
      <c r="A77" s="14" t="str">
        <f>SKU_Master!A77</f>
        <v>MDLZ0076</v>
      </c>
      <c r="B77" s="14" t="str">
        <f>ABC_Analysis!G77</f>
        <v>A</v>
      </c>
      <c r="C77" s="14">
        <f>Demand_Stats!C77</f>
        <v>26.76</v>
      </c>
      <c r="D77" s="14">
        <f>Demand_Stats!D77</f>
        <v>17.75</v>
      </c>
      <c r="E77" s="14">
        <f>SKU_Master!F77</f>
        <v>7</v>
      </c>
      <c r="F77" s="14">
        <f t="shared" si="12"/>
        <v>2.0499999999999998</v>
      </c>
      <c r="G77" s="14">
        <f t="shared" si="13"/>
        <v>96.3</v>
      </c>
      <c r="H77" s="14">
        <f t="shared" si="14"/>
        <v>283.60000000000002</v>
      </c>
      <c r="I77" s="19">
        <v>237</v>
      </c>
      <c r="J77" s="14" t="str">
        <f t="shared" si="15"/>
        <v>REORDER NOW</v>
      </c>
      <c r="K77" s="14">
        <f>SKU_Master!H77</f>
        <v>12</v>
      </c>
      <c r="L77" s="14">
        <f t="shared" si="16"/>
        <v>314.20000000000005</v>
      </c>
      <c r="M77" s="14">
        <f t="shared" si="17"/>
        <v>27</v>
      </c>
    </row>
    <row r="78" spans="1:13" x14ac:dyDescent="0.3">
      <c r="A78" s="14" t="str">
        <f>SKU_Master!A78</f>
        <v>MDLZ0077</v>
      </c>
      <c r="B78" s="14" t="str">
        <f>ABC_Analysis!G78</f>
        <v>A</v>
      </c>
      <c r="C78" s="14">
        <f>Demand_Stats!C78</f>
        <v>14.8</v>
      </c>
      <c r="D78" s="14">
        <f>Demand_Stats!D78</f>
        <v>8</v>
      </c>
      <c r="E78" s="14">
        <f>SKU_Master!F78</f>
        <v>5</v>
      </c>
      <c r="F78" s="14">
        <f t="shared" si="12"/>
        <v>2.0499999999999998</v>
      </c>
      <c r="G78" s="14">
        <f t="shared" si="13"/>
        <v>36.700000000000003</v>
      </c>
      <c r="H78" s="14">
        <f t="shared" si="14"/>
        <v>110.7</v>
      </c>
      <c r="I78" s="19">
        <v>55</v>
      </c>
      <c r="J78" s="14" t="str">
        <f t="shared" si="15"/>
        <v>REORDER NOW</v>
      </c>
      <c r="K78" s="14">
        <f>SKU_Master!H78</f>
        <v>12</v>
      </c>
      <c r="L78" s="14">
        <f t="shared" si="16"/>
        <v>203.7</v>
      </c>
      <c r="M78" s="14">
        <f t="shared" si="17"/>
        <v>17</v>
      </c>
    </row>
    <row r="79" spans="1:13" x14ac:dyDescent="0.3">
      <c r="A79" s="14" t="str">
        <f>SKU_Master!A79</f>
        <v>MDLZ0078</v>
      </c>
      <c r="B79" s="14" t="str">
        <f>ABC_Analysis!G79</f>
        <v>A</v>
      </c>
      <c r="C79" s="14">
        <f>Demand_Stats!C79</f>
        <v>18.29</v>
      </c>
      <c r="D79" s="14">
        <f>Demand_Stats!D79</f>
        <v>12.94</v>
      </c>
      <c r="E79" s="14">
        <f>SKU_Master!F79</f>
        <v>4</v>
      </c>
      <c r="F79" s="14">
        <f t="shared" si="12"/>
        <v>2.0499999999999998</v>
      </c>
      <c r="G79" s="14">
        <f t="shared" si="13"/>
        <v>53.1</v>
      </c>
      <c r="H79" s="14">
        <f t="shared" si="14"/>
        <v>126.3</v>
      </c>
      <c r="I79" s="19">
        <v>52</v>
      </c>
      <c r="J79" s="14" t="str">
        <f t="shared" si="15"/>
        <v>REORDER NOW</v>
      </c>
      <c r="K79" s="14">
        <f>SKU_Master!H79</f>
        <v>24</v>
      </c>
      <c r="L79" s="14">
        <f t="shared" si="16"/>
        <v>257.2</v>
      </c>
      <c r="M79" s="14">
        <f t="shared" si="17"/>
        <v>11</v>
      </c>
    </row>
    <row r="80" spans="1:13" x14ac:dyDescent="0.3">
      <c r="A80" s="14" t="str">
        <f>SKU_Master!A80</f>
        <v>MDLZ0079</v>
      </c>
      <c r="B80" s="14" t="str">
        <f>ABC_Analysis!G80</f>
        <v>A</v>
      </c>
      <c r="C80" s="14">
        <f>Demand_Stats!C80</f>
        <v>33.04</v>
      </c>
      <c r="D80" s="14">
        <f>Demand_Stats!D80</f>
        <v>16.2</v>
      </c>
      <c r="E80" s="14">
        <f>SKU_Master!F80</f>
        <v>5</v>
      </c>
      <c r="F80" s="14">
        <f t="shared" si="12"/>
        <v>2.0499999999999998</v>
      </c>
      <c r="G80" s="14">
        <f t="shared" si="13"/>
        <v>74.3</v>
      </c>
      <c r="H80" s="14">
        <f t="shared" si="14"/>
        <v>239.5</v>
      </c>
      <c r="I80" s="19">
        <v>333</v>
      </c>
      <c r="J80" s="14" t="str">
        <f t="shared" si="15"/>
        <v>OK</v>
      </c>
      <c r="K80" s="14">
        <f>SKU_Master!H80</f>
        <v>12</v>
      </c>
      <c r="L80" s="14">
        <f t="shared" si="16"/>
        <v>236.89999999999998</v>
      </c>
      <c r="M80" s="14">
        <f t="shared" si="17"/>
        <v>20</v>
      </c>
    </row>
    <row r="81" spans="1:13" x14ac:dyDescent="0.3">
      <c r="A81" s="14" t="str">
        <f>SKU_Master!A81</f>
        <v>MDLZ0080</v>
      </c>
      <c r="B81" s="14" t="str">
        <f>ABC_Analysis!G81</f>
        <v>A</v>
      </c>
      <c r="C81" s="14">
        <f>Demand_Stats!C81</f>
        <v>23.08</v>
      </c>
      <c r="D81" s="14">
        <f>Demand_Stats!D81</f>
        <v>13.99</v>
      </c>
      <c r="E81" s="14">
        <f>SKU_Master!F81</f>
        <v>5</v>
      </c>
      <c r="F81" s="14">
        <f t="shared" si="12"/>
        <v>2.0499999999999998</v>
      </c>
      <c r="G81" s="14">
        <f t="shared" si="13"/>
        <v>64.099999999999994</v>
      </c>
      <c r="H81" s="14">
        <f t="shared" si="14"/>
        <v>179.5</v>
      </c>
      <c r="I81" s="19">
        <v>78</v>
      </c>
      <c r="J81" s="14" t="str">
        <f t="shared" si="15"/>
        <v>REORDER NOW</v>
      </c>
      <c r="K81" s="14">
        <f>SKU_Master!H81</f>
        <v>12</v>
      </c>
      <c r="L81" s="14">
        <f t="shared" si="16"/>
        <v>332.29999999999995</v>
      </c>
      <c r="M81" s="14">
        <f t="shared" si="17"/>
        <v>28</v>
      </c>
    </row>
    <row r="82" spans="1:13" x14ac:dyDescent="0.3">
      <c r="A82" s="14" t="str">
        <f>SKU_Master!A82</f>
        <v>MDLZ0081</v>
      </c>
      <c r="B82" s="14" t="str">
        <f>ABC_Analysis!G82</f>
        <v>A</v>
      </c>
      <c r="C82" s="14">
        <f>Demand_Stats!C82</f>
        <v>14.56</v>
      </c>
      <c r="D82" s="14">
        <f>Demand_Stats!D82</f>
        <v>7.5</v>
      </c>
      <c r="E82" s="14">
        <f>SKU_Master!F82</f>
        <v>4</v>
      </c>
      <c r="F82" s="14">
        <f t="shared" si="12"/>
        <v>2.0499999999999998</v>
      </c>
      <c r="G82" s="14">
        <f t="shared" si="13"/>
        <v>30.8</v>
      </c>
      <c r="H82" s="14">
        <f t="shared" si="14"/>
        <v>89</v>
      </c>
      <c r="I82" s="19">
        <v>35</v>
      </c>
      <c r="J82" s="14" t="str">
        <f t="shared" si="15"/>
        <v>REORDER NOW</v>
      </c>
      <c r="K82" s="14">
        <f>SKU_Master!H82</f>
        <v>18</v>
      </c>
      <c r="L82" s="14">
        <f t="shared" si="16"/>
        <v>199.6</v>
      </c>
      <c r="M82" s="14">
        <f t="shared" si="17"/>
        <v>12</v>
      </c>
    </row>
    <row r="83" spans="1:13" x14ac:dyDescent="0.3">
      <c r="A83" s="14" t="str">
        <f>SKU_Master!A83</f>
        <v>MDLZ0082</v>
      </c>
      <c r="B83" s="14" t="str">
        <f>ABC_Analysis!G83</f>
        <v>B</v>
      </c>
      <c r="C83" s="14">
        <f>Demand_Stats!C83</f>
        <v>17.239999999999998</v>
      </c>
      <c r="D83" s="14">
        <f>Demand_Stats!D83</f>
        <v>8.42</v>
      </c>
      <c r="E83" s="14">
        <f>SKU_Master!F83</f>
        <v>4</v>
      </c>
      <c r="F83" s="14">
        <f t="shared" si="12"/>
        <v>1.65</v>
      </c>
      <c r="G83" s="14">
        <f t="shared" si="13"/>
        <v>27.8</v>
      </c>
      <c r="H83" s="14">
        <f t="shared" si="14"/>
        <v>96.8</v>
      </c>
      <c r="I83" s="19">
        <v>5</v>
      </c>
      <c r="J83" s="14" t="str">
        <f t="shared" si="15"/>
        <v>REORDER NOW</v>
      </c>
      <c r="K83" s="14">
        <f>SKU_Master!H83</f>
        <v>18</v>
      </c>
      <c r="L83" s="14">
        <f t="shared" si="16"/>
        <v>264.2</v>
      </c>
      <c r="M83" s="14">
        <f t="shared" si="17"/>
        <v>15</v>
      </c>
    </row>
    <row r="84" spans="1:13" x14ac:dyDescent="0.3">
      <c r="A84" s="14" t="str">
        <f>SKU_Master!A84</f>
        <v>MDLZ0083</v>
      </c>
      <c r="B84" s="14" t="str">
        <f>ABC_Analysis!G84</f>
        <v>A</v>
      </c>
      <c r="C84" s="14">
        <f>Demand_Stats!C84</f>
        <v>17.03</v>
      </c>
      <c r="D84" s="14">
        <f>Demand_Stats!D84</f>
        <v>8.5</v>
      </c>
      <c r="E84" s="14">
        <f>SKU_Master!F84</f>
        <v>14</v>
      </c>
      <c r="F84" s="14">
        <f t="shared" si="12"/>
        <v>2.0499999999999998</v>
      </c>
      <c r="G84" s="14">
        <f t="shared" si="13"/>
        <v>65.2</v>
      </c>
      <c r="H84" s="14">
        <f t="shared" si="14"/>
        <v>303.60000000000002</v>
      </c>
      <c r="I84" s="19">
        <v>41</v>
      </c>
      <c r="J84" s="14" t="str">
        <f t="shared" si="15"/>
        <v>REORDER NOW</v>
      </c>
      <c r="K84" s="14">
        <f>SKU_Master!H84</f>
        <v>18</v>
      </c>
      <c r="L84" s="14">
        <f t="shared" si="16"/>
        <v>432.90000000000003</v>
      </c>
      <c r="M84" s="14">
        <f t="shared" si="17"/>
        <v>25</v>
      </c>
    </row>
    <row r="85" spans="1:13" x14ac:dyDescent="0.3">
      <c r="A85" s="14" t="str">
        <f>SKU_Master!A85</f>
        <v>MDLZ0084</v>
      </c>
      <c r="B85" s="14" t="str">
        <f>ABC_Analysis!G85</f>
        <v>A</v>
      </c>
      <c r="C85" s="14">
        <f>Demand_Stats!C85</f>
        <v>23.61</v>
      </c>
      <c r="D85" s="14">
        <f>Demand_Stats!D85</f>
        <v>14.92</v>
      </c>
      <c r="E85" s="14">
        <f>SKU_Master!F85</f>
        <v>7</v>
      </c>
      <c r="F85" s="14">
        <f t="shared" si="12"/>
        <v>2.0499999999999998</v>
      </c>
      <c r="G85" s="14">
        <f t="shared" si="13"/>
        <v>80.900000000000006</v>
      </c>
      <c r="H85" s="14">
        <f t="shared" si="14"/>
        <v>246.2</v>
      </c>
      <c r="I85" s="19">
        <v>117</v>
      </c>
      <c r="J85" s="14" t="str">
        <f t="shared" si="15"/>
        <v>REORDER NOW</v>
      </c>
      <c r="K85" s="14">
        <f>SKU_Master!H85</f>
        <v>12</v>
      </c>
      <c r="L85" s="14">
        <f t="shared" si="16"/>
        <v>365.29999999999995</v>
      </c>
      <c r="M85" s="14">
        <f t="shared" si="17"/>
        <v>31</v>
      </c>
    </row>
    <row r="86" spans="1:13" x14ac:dyDescent="0.3">
      <c r="A86" s="14" t="str">
        <f>SKU_Master!A86</f>
        <v>MDLZ0085</v>
      </c>
      <c r="B86" s="14" t="str">
        <f>ABC_Analysis!G86</f>
        <v>C</v>
      </c>
      <c r="C86" s="14">
        <f>Demand_Stats!C86</f>
        <v>13.19</v>
      </c>
      <c r="D86" s="14">
        <f>Demand_Stats!D86</f>
        <v>8.24</v>
      </c>
      <c r="E86" s="14">
        <f>SKU_Master!F86</f>
        <v>14</v>
      </c>
      <c r="F86" s="14">
        <f t="shared" si="12"/>
        <v>1.28</v>
      </c>
      <c r="G86" s="14">
        <f t="shared" si="13"/>
        <v>39.5</v>
      </c>
      <c r="H86" s="14">
        <f t="shared" si="14"/>
        <v>224.2</v>
      </c>
      <c r="I86" s="19">
        <v>162</v>
      </c>
      <c r="J86" s="14" t="str">
        <f t="shared" si="15"/>
        <v>REORDER NOW</v>
      </c>
      <c r="K86" s="14">
        <f>SKU_Master!H86</f>
        <v>18</v>
      </c>
      <c r="L86" s="14">
        <f t="shared" si="16"/>
        <v>194.10000000000002</v>
      </c>
      <c r="M86" s="14">
        <f t="shared" si="17"/>
        <v>11</v>
      </c>
    </row>
    <row r="87" spans="1:13" x14ac:dyDescent="0.3">
      <c r="A87" s="14" t="str">
        <f>SKU_Master!A87</f>
        <v>MDLZ0086</v>
      </c>
      <c r="B87" s="14" t="str">
        <f>ABC_Analysis!G87</f>
        <v>A</v>
      </c>
      <c r="C87" s="14">
        <f>Demand_Stats!C87</f>
        <v>25.93</v>
      </c>
      <c r="D87" s="14">
        <f>Demand_Stats!D87</f>
        <v>14.27</v>
      </c>
      <c r="E87" s="14">
        <f>SKU_Master!F87</f>
        <v>7</v>
      </c>
      <c r="F87" s="14">
        <f t="shared" si="12"/>
        <v>2.0499999999999998</v>
      </c>
      <c r="G87" s="14">
        <f t="shared" si="13"/>
        <v>77.400000000000006</v>
      </c>
      <c r="H87" s="14">
        <f t="shared" si="14"/>
        <v>258.89999999999998</v>
      </c>
      <c r="I87" s="19">
        <v>115</v>
      </c>
      <c r="J87" s="14" t="str">
        <f t="shared" si="15"/>
        <v>REORDER NOW</v>
      </c>
      <c r="K87" s="14">
        <f>SKU_Master!H87</f>
        <v>12</v>
      </c>
      <c r="L87" s="14">
        <f t="shared" si="16"/>
        <v>403.20000000000005</v>
      </c>
      <c r="M87" s="14">
        <f t="shared" si="17"/>
        <v>34</v>
      </c>
    </row>
    <row r="88" spans="1:13" x14ac:dyDescent="0.3">
      <c r="A88" s="14" t="str">
        <f>SKU_Master!A88</f>
        <v>MDLZ0087</v>
      </c>
      <c r="B88" s="14" t="str">
        <f>ABC_Analysis!G88</f>
        <v>C</v>
      </c>
      <c r="C88" s="14">
        <f>Demand_Stats!C88</f>
        <v>11.5</v>
      </c>
      <c r="D88" s="14">
        <f>Demand_Stats!D88</f>
        <v>5.69</v>
      </c>
      <c r="E88" s="14">
        <f>SKU_Master!F88</f>
        <v>2</v>
      </c>
      <c r="F88" s="14">
        <f t="shared" si="12"/>
        <v>1.28</v>
      </c>
      <c r="G88" s="14">
        <f t="shared" si="13"/>
        <v>10.3</v>
      </c>
      <c r="H88" s="14">
        <f t="shared" si="14"/>
        <v>33.299999999999997</v>
      </c>
      <c r="I88" s="19">
        <v>23</v>
      </c>
      <c r="J88" s="14" t="str">
        <f t="shared" si="15"/>
        <v>REORDER NOW</v>
      </c>
      <c r="K88" s="14">
        <f>SKU_Master!H88</f>
        <v>12</v>
      </c>
      <c r="L88" s="14">
        <f t="shared" si="16"/>
        <v>125.30000000000001</v>
      </c>
      <c r="M88" s="14">
        <f t="shared" si="17"/>
        <v>11</v>
      </c>
    </row>
    <row r="89" spans="1:13" x14ac:dyDescent="0.3">
      <c r="A89" s="14" t="str">
        <f>SKU_Master!A89</f>
        <v>MDLZ0088</v>
      </c>
      <c r="B89" s="14" t="str">
        <f>ABC_Analysis!G89</f>
        <v>A</v>
      </c>
      <c r="C89" s="14">
        <f>Demand_Stats!C89</f>
        <v>31.99</v>
      </c>
      <c r="D89" s="14">
        <f>Demand_Stats!D89</f>
        <v>13.99</v>
      </c>
      <c r="E89" s="14">
        <f>SKU_Master!F89</f>
        <v>4</v>
      </c>
      <c r="F89" s="14">
        <f t="shared" si="12"/>
        <v>2.0499999999999998</v>
      </c>
      <c r="G89" s="14">
        <f t="shared" si="13"/>
        <v>57.4</v>
      </c>
      <c r="H89" s="14">
        <f t="shared" si="14"/>
        <v>185.4</v>
      </c>
      <c r="I89" s="19">
        <v>102</v>
      </c>
      <c r="J89" s="14" t="str">
        <f t="shared" si="15"/>
        <v>REORDER NOW</v>
      </c>
      <c r="K89" s="14">
        <f>SKU_Master!H89</f>
        <v>24</v>
      </c>
      <c r="L89" s="14">
        <f t="shared" si="16"/>
        <v>403.29999999999995</v>
      </c>
      <c r="M89" s="14">
        <f t="shared" si="17"/>
        <v>17</v>
      </c>
    </row>
    <row r="90" spans="1:13" x14ac:dyDescent="0.3">
      <c r="A90" s="14" t="str">
        <f>SKU_Master!A90</f>
        <v>MDLZ0089</v>
      </c>
      <c r="B90" s="14" t="str">
        <f>ABC_Analysis!G90</f>
        <v>B</v>
      </c>
      <c r="C90" s="14">
        <f>Demand_Stats!C90</f>
        <v>17.920000000000002</v>
      </c>
      <c r="D90" s="14">
        <f>Demand_Stats!D90</f>
        <v>10.25</v>
      </c>
      <c r="E90" s="14">
        <f>SKU_Master!F90</f>
        <v>3</v>
      </c>
      <c r="F90" s="14">
        <f t="shared" si="12"/>
        <v>1.65</v>
      </c>
      <c r="G90" s="14">
        <f t="shared" si="13"/>
        <v>29.3</v>
      </c>
      <c r="H90" s="14">
        <f t="shared" si="14"/>
        <v>83.1</v>
      </c>
      <c r="I90" s="19">
        <v>46</v>
      </c>
      <c r="J90" s="14" t="str">
        <f t="shared" si="15"/>
        <v>REORDER NOW</v>
      </c>
      <c r="K90" s="14">
        <f>SKU_Master!H90</f>
        <v>24</v>
      </c>
      <c r="L90" s="14">
        <f t="shared" si="16"/>
        <v>216.3</v>
      </c>
      <c r="M90" s="14">
        <f t="shared" si="17"/>
        <v>10</v>
      </c>
    </row>
    <row r="91" spans="1:13" x14ac:dyDescent="0.3">
      <c r="A91" s="14" t="str">
        <f>SKU_Master!A91</f>
        <v>MDLZ0090</v>
      </c>
      <c r="B91" s="14" t="str">
        <f>ABC_Analysis!G91</f>
        <v>B</v>
      </c>
      <c r="C91" s="14">
        <f>Demand_Stats!C91</f>
        <v>14.79</v>
      </c>
      <c r="D91" s="14">
        <f>Demand_Stats!D91</f>
        <v>8.94</v>
      </c>
      <c r="E91" s="14">
        <f>SKU_Master!F91</f>
        <v>2</v>
      </c>
      <c r="F91" s="14">
        <f t="shared" si="12"/>
        <v>1.65</v>
      </c>
      <c r="G91" s="14">
        <f t="shared" si="13"/>
        <v>20.9</v>
      </c>
      <c r="H91" s="14">
        <f t="shared" si="14"/>
        <v>50.5</v>
      </c>
      <c r="I91" s="19">
        <v>7</v>
      </c>
      <c r="J91" s="14" t="str">
        <f t="shared" si="15"/>
        <v>REORDER NOW</v>
      </c>
      <c r="K91" s="14">
        <f>SKU_Master!H91</f>
        <v>12</v>
      </c>
      <c r="L91" s="14">
        <f t="shared" si="16"/>
        <v>191.39999999999998</v>
      </c>
      <c r="M91" s="14">
        <f t="shared" si="17"/>
        <v>16</v>
      </c>
    </row>
    <row r="92" spans="1:13" x14ac:dyDescent="0.3">
      <c r="A92" s="14" t="str">
        <f>SKU_Master!A92</f>
        <v>MDLZ0091</v>
      </c>
      <c r="B92" s="14" t="str">
        <f>ABC_Analysis!G92</f>
        <v>A</v>
      </c>
      <c r="C92" s="14">
        <f>Demand_Stats!C92</f>
        <v>145.91</v>
      </c>
      <c r="D92" s="14">
        <f>Demand_Stats!D92</f>
        <v>70.17</v>
      </c>
      <c r="E92" s="14">
        <f>SKU_Master!F92</f>
        <v>5</v>
      </c>
      <c r="F92" s="14">
        <f t="shared" si="12"/>
        <v>2.0499999999999998</v>
      </c>
      <c r="G92" s="14">
        <f t="shared" si="13"/>
        <v>321.7</v>
      </c>
      <c r="H92" s="14">
        <f t="shared" si="14"/>
        <v>1051.3</v>
      </c>
      <c r="I92" s="19">
        <v>1077</v>
      </c>
      <c r="J92" s="14" t="str">
        <f t="shared" si="15"/>
        <v>OK</v>
      </c>
      <c r="K92" s="14">
        <f>SKU_Master!H92</f>
        <v>30</v>
      </c>
      <c r="L92" s="14">
        <f t="shared" si="16"/>
        <v>1433.3999999999996</v>
      </c>
      <c r="M92" s="14">
        <f t="shared" si="17"/>
        <v>48</v>
      </c>
    </row>
    <row r="93" spans="1:13" x14ac:dyDescent="0.3">
      <c r="A93" s="14" t="str">
        <f>SKU_Master!A93</f>
        <v>MDLZ0092</v>
      </c>
      <c r="B93" s="14" t="str">
        <f>ABC_Analysis!G93</f>
        <v>A</v>
      </c>
      <c r="C93" s="14">
        <f>Demand_Stats!C93</f>
        <v>187.07</v>
      </c>
      <c r="D93" s="14">
        <f>Demand_Stats!D93</f>
        <v>109.61</v>
      </c>
      <c r="E93" s="14">
        <f>SKU_Master!F93</f>
        <v>4</v>
      </c>
      <c r="F93" s="14">
        <f t="shared" si="12"/>
        <v>2.0499999999999998</v>
      </c>
      <c r="G93" s="14">
        <f t="shared" si="13"/>
        <v>449.4</v>
      </c>
      <c r="H93" s="14">
        <f t="shared" si="14"/>
        <v>1197.7</v>
      </c>
      <c r="I93" s="19">
        <v>193</v>
      </c>
      <c r="J93" s="14" t="str">
        <f t="shared" si="15"/>
        <v>REORDER NOW</v>
      </c>
      <c r="K93" s="14">
        <f>SKU_Master!H93</f>
        <v>42</v>
      </c>
      <c r="L93" s="14">
        <f t="shared" si="16"/>
        <v>2875.3999999999996</v>
      </c>
      <c r="M93" s="14">
        <f t="shared" si="17"/>
        <v>69</v>
      </c>
    </row>
    <row r="94" spans="1:13" x14ac:dyDescent="0.3">
      <c r="A94" s="14" t="str">
        <f>SKU_Master!A94</f>
        <v>MDLZ0093</v>
      </c>
      <c r="B94" s="14" t="str">
        <f>ABC_Analysis!G94</f>
        <v>C</v>
      </c>
      <c r="C94" s="14">
        <f>Demand_Stats!C94</f>
        <v>67.22</v>
      </c>
      <c r="D94" s="14">
        <f>Demand_Stats!D94</f>
        <v>33.54</v>
      </c>
      <c r="E94" s="14">
        <f>SKU_Master!F94</f>
        <v>14</v>
      </c>
      <c r="F94" s="14">
        <f t="shared" si="12"/>
        <v>1.28</v>
      </c>
      <c r="G94" s="14">
        <f t="shared" si="13"/>
        <v>160.6</v>
      </c>
      <c r="H94" s="14">
        <f t="shared" si="14"/>
        <v>1101.7</v>
      </c>
      <c r="I94" s="19">
        <v>221</v>
      </c>
      <c r="J94" s="14" t="str">
        <f t="shared" si="15"/>
        <v>REORDER NOW</v>
      </c>
      <c r="K94" s="14">
        <f>SKU_Master!H94</f>
        <v>54</v>
      </c>
      <c r="L94" s="14">
        <f t="shared" si="16"/>
        <v>1552.9</v>
      </c>
      <c r="M94" s="14">
        <f t="shared" si="17"/>
        <v>29</v>
      </c>
    </row>
    <row r="95" spans="1:13" x14ac:dyDescent="0.3">
      <c r="A95" s="14" t="str">
        <f>SKU_Master!A95</f>
        <v>MDLZ0094</v>
      </c>
      <c r="B95" s="14" t="str">
        <f>ABC_Analysis!G95</f>
        <v>B</v>
      </c>
      <c r="C95" s="14">
        <f>Demand_Stats!C95</f>
        <v>53.08</v>
      </c>
      <c r="D95" s="14">
        <f>Demand_Stats!D95</f>
        <v>29.11</v>
      </c>
      <c r="E95" s="14">
        <f>SKU_Master!F95</f>
        <v>4</v>
      </c>
      <c r="F95" s="14">
        <f t="shared" si="12"/>
        <v>1.65</v>
      </c>
      <c r="G95" s="14">
        <f t="shared" si="13"/>
        <v>96.1</v>
      </c>
      <c r="H95" s="14">
        <f t="shared" si="14"/>
        <v>308.39999999999998</v>
      </c>
      <c r="I95" s="19">
        <v>71</v>
      </c>
      <c r="J95" s="14" t="str">
        <f t="shared" si="15"/>
        <v>REORDER NOW</v>
      </c>
      <c r="K95" s="14">
        <f>SKU_Master!H95</f>
        <v>54</v>
      </c>
      <c r="L95" s="14">
        <f t="shared" si="16"/>
        <v>768.19999999999993</v>
      </c>
      <c r="M95" s="14">
        <f t="shared" si="17"/>
        <v>15</v>
      </c>
    </row>
    <row r="96" spans="1:13" x14ac:dyDescent="0.3">
      <c r="A96" s="14" t="str">
        <f>SKU_Master!A96</f>
        <v>MDLZ0095</v>
      </c>
      <c r="B96" s="14" t="str">
        <f>ABC_Analysis!G96</f>
        <v>A</v>
      </c>
      <c r="C96" s="14">
        <f>Demand_Stats!C96</f>
        <v>96.26</v>
      </c>
      <c r="D96" s="14">
        <f>Demand_Stats!D96</f>
        <v>37.43</v>
      </c>
      <c r="E96" s="14">
        <f>SKU_Master!F96</f>
        <v>2</v>
      </c>
      <c r="F96" s="14">
        <f t="shared" si="12"/>
        <v>2.0499999999999998</v>
      </c>
      <c r="G96" s="14">
        <f t="shared" si="13"/>
        <v>108.5</v>
      </c>
      <c r="H96" s="14">
        <f t="shared" si="14"/>
        <v>301</v>
      </c>
      <c r="I96" s="19">
        <v>148</v>
      </c>
      <c r="J96" s="14" t="str">
        <f t="shared" si="15"/>
        <v>REORDER NOW</v>
      </c>
      <c r="K96" s="14">
        <f>SKU_Master!H96</f>
        <v>54</v>
      </c>
      <c r="L96" s="14">
        <f t="shared" si="16"/>
        <v>1115.5999999999999</v>
      </c>
      <c r="M96" s="14">
        <f t="shared" si="17"/>
        <v>21</v>
      </c>
    </row>
    <row r="97" spans="1:13" x14ac:dyDescent="0.3">
      <c r="A97" s="14" t="str">
        <f>SKU_Master!A97</f>
        <v>MDLZ0096</v>
      </c>
      <c r="B97" s="14" t="str">
        <f>ABC_Analysis!G97</f>
        <v>C</v>
      </c>
      <c r="C97" s="14">
        <f>Demand_Stats!C97</f>
        <v>66.42</v>
      </c>
      <c r="D97" s="14">
        <f>Demand_Stats!D97</f>
        <v>33.06</v>
      </c>
      <c r="E97" s="14">
        <f>SKU_Master!F97</f>
        <v>14</v>
      </c>
      <c r="F97" s="14">
        <f t="shared" si="12"/>
        <v>1.28</v>
      </c>
      <c r="G97" s="14">
        <f t="shared" si="13"/>
        <v>158.30000000000001</v>
      </c>
      <c r="H97" s="14">
        <f t="shared" si="14"/>
        <v>1088.2</v>
      </c>
      <c r="I97" s="19">
        <v>318</v>
      </c>
      <c r="J97" s="14" t="str">
        <f t="shared" si="15"/>
        <v>REORDER NOW</v>
      </c>
      <c r="K97" s="14">
        <f>SKU_Master!H97</f>
        <v>48</v>
      </c>
      <c r="L97" s="14">
        <f t="shared" si="16"/>
        <v>1434.4</v>
      </c>
      <c r="M97" s="14">
        <f t="shared" si="17"/>
        <v>30</v>
      </c>
    </row>
    <row r="98" spans="1:13" x14ac:dyDescent="0.3">
      <c r="A98" s="14" t="str">
        <f>SKU_Master!A98</f>
        <v>MDLZ0097</v>
      </c>
      <c r="B98" s="14" t="str">
        <f>ABC_Analysis!G98</f>
        <v>B</v>
      </c>
      <c r="C98" s="14">
        <f>Demand_Stats!C98</f>
        <v>88.06</v>
      </c>
      <c r="D98" s="14">
        <f>Demand_Stats!D98</f>
        <v>37.619999999999997</v>
      </c>
      <c r="E98" s="14">
        <f>SKU_Master!F98</f>
        <v>14</v>
      </c>
      <c r="F98" s="14">
        <f t="shared" ref="F98:F129" si="18">IF(B98="A",2.05,IF(B98="B",1.65,1.28))</f>
        <v>1.65</v>
      </c>
      <c r="G98" s="14">
        <f t="shared" ref="G98:G129" si="19">ROUND(F98*D98*SQRT(E98),1)</f>
        <v>232.3</v>
      </c>
      <c r="H98" s="14">
        <f t="shared" ref="H98:H129" si="20">ROUND((C98*E98)+G98,1)</f>
        <v>1465.1</v>
      </c>
      <c r="I98" s="19">
        <v>1159</v>
      </c>
      <c r="J98" s="14" t="str">
        <f t="shared" ref="J98:J129" si="21">IF(I98&lt;=H98,"REORDER NOW","OK")</f>
        <v>REORDER NOW</v>
      </c>
      <c r="K98" s="14">
        <f>SKU_Master!H98</f>
        <v>36</v>
      </c>
      <c r="L98" s="14">
        <f t="shared" ref="L98:L129" si="22">MAX(0,(H98+C98*10)-I98)</f>
        <v>1186.6999999999998</v>
      </c>
      <c r="M98" s="14">
        <f t="shared" ref="M98:M129" si="23">IF(K98=0,0,ROUNDUP(L98/K98,0))</f>
        <v>33</v>
      </c>
    </row>
    <row r="99" spans="1:13" x14ac:dyDescent="0.3">
      <c r="A99" s="14" t="str">
        <f>SKU_Master!A99</f>
        <v>MDLZ0098</v>
      </c>
      <c r="B99" s="14" t="str">
        <f>ABC_Analysis!G99</f>
        <v>A</v>
      </c>
      <c r="C99" s="14">
        <f>Demand_Stats!C99</f>
        <v>151.22</v>
      </c>
      <c r="D99" s="14">
        <f>Demand_Stats!D99</f>
        <v>69.66</v>
      </c>
      <c r="E99" s="14">
        <f>SKU_Master!F99</f>
        <v>4</v>
      </c>
      <c r="F99" s="14">
        <f t="shared" si="18"/>
        <v>2.0499999999999998</v>
      </c>
      <c r="G99" s="14">
        <f t="shared" si="19"/>
        <v>285.60000000000002</v>
      </c>
      <c r="H99" s="14">
        <f t="shared" si="20"/>
        <v>890.5</v>
      </c>
      <c r="I99" s="19">
        <v>1517</v>
      </c>
      <c r="J99" s="14" t="str">
        <f t="shared" si="21"/>
        <v>OK</v>
      </c>
      <c r="K99" s="14">
        <f>SKU_Master!H99</f>
        <v>30</v>
      </c>
      <c r="L99" s="14">
        <f t="shared" si="22"/>
        <v>885.69999999999982</v>
      </c>
      <c r="M99" s="14">
        <f t="shared" si="23"/>
        <v>30</v>
      </c>
    </row>
    <row r="100" spans="1:13" x14ac:dyDescent="0.3">
      <c r="A100" s="14" t="str">
        <f>SKU_Master!A100</f>
        <v>MDLZ0099</v>
      </c>
      <c r="B100" s="14" t="str">
        <f>ABC_Analysis!G100</f>
        <v>B</v>
      </c>
      <c r="C100" s="14">
        <f>Demand_Stats!C100</f>
        <v>104.71</v>
      </c>
      <c r="D100" s="14">
        <f>Demand_Stats!D100</f>
        <v>66.48</v>
      </c>
      <c r="E100" s="14">
        <f>SKU_Master!F100</f>
        <v>4</v>
      </c>
      <c r="F100" s="14">
        <f t="shared" si="18"/>
        <v>1.65</v>
      </c>
      <c r="G100" s="14">
        <f t="shared" si="19"/>
        <v>219.4</v>
      </c>
      <c r="H100" s="14">
        <f t="shared" si="20"/>
        <v>638.20000000000005</v>
      </c>
      <c r="I100" s="19">
        <v>29</v>
      </c>
      <c r="J100" s="14" t="str">
        <f t="shared" si="21"/>
        <v>REORDER NOW</v>
      </c>
      <c r="K100" s="14">
        <f>SKU_Master!H100</f>
        <v>24</v>
      </c>
      <c r="L100" s="14">
        <f t="shared" si="22"/>
        <v>1656.3</v>
      </c>
      <c r="M100" s="14">
        <f t="shared" si="23"/>
        <v>70</v>
      </c>
    </row>
    <row r="101" spans="1:13" x14ac:dyDescent="0.3">
      <c r="A101" s="14" t="str">
        <f>SKU_Master!A101</f>
        <v>MDLZ0100</v>
      </c>
      <c r="B101" s="14" t="str">
        <f>ABC_Analysis!G101</f>
        <v>A</v>
      </c>
      <c r="C101" s="14">
        <f>Demand_Stats!C101</f>
        <v>148.62</v>
      </c>
      <c r="D101" s="14">
        <f>Demand_Stats!D101</f>
        <v>81.510000000000005</v>
      </c>
      <c r="E101" s="14">
        <f>SKU_Master!F101</f>
        <v>14</v>
      </c>
      <c r="F101" s="14">
        <f t="shared" si="18"/>
        <v>2.0499999999999998</v>
      </c>
      <c r="G101" s="14">
        <f t="shared" si="19"/>
        <v>625.20000000000005</v>
      </c>
      <c r="H101" s="14">
        <f t="shared" si="20"/>
        <v>2705.9</v>
      </c>
      <c r="I101" s="19">
        <v>132</v>
      </c>
      <c r="J101" s="14" t="str">
        <f t="shared" si="21"/>
        <v>REORDER NOW</v>
      </c>
      <c r="K101" s="14">
        <f>SKU_Master!H101</f>
        <v>36</v>
      </c>
      <c r="L101" s="14">
        <f t="shared" si="22"/>
        <v>4060.1000000000004</v>
      </c>
      <c r="M101" s="14">
        <f t="shared" si="23"/>
        <v>113</v>
      </c>
    </row>
    <row r="102" spans="1:13" x14ac:dyDescent="0.3">
      <c r="A102" s="14" t="str">
        <f>SKU_Master!A102</f>
        <v>MDLZ0101</v>
      </c>
      <c r="B102" s="14" t="str">
        <f>ABC_Analysis!G102</f>
        <v>A</v>
      </c>
      <c r="C102" s="14">
        <f>Demand_Stats!C102</f>
        <v>80.63</v>
      </c>
      <c r="D102" s="14">
        <f>Demand_Stats!D102</f>
        <v>31.37</v>
      </c>
      <c r="E102" s="14">
        <f>SKU_Master!F102</f>
        <v>4</v>
      </c>
      <c r="F102" s="14">
        <f t="shared" si="18"/>
        <v>2.0499999999999998</v>
      </c>
      <c r="G102" s="14">
        <f t="shared" si="19"/>
        <v>128.6</v>
      </c>
      <c r="H102" s="14">
        <f t="shared" si="20"/>
        <v>451.1</v>
      </c>
      <c r="I102" s="19">
        <v>94</v>
      </c>
      <c r="J102" s="14" t="str">
        <f t="shared" si="21"/>
        <v>REORDER NOW</v>
      </c>
      <c r="K102" s="14">
        <f>SKU_Master!H102</f>
        <v>48</v>
      </c>
      <c r="L102" s="14">
        <f t="shared" si="22"/>
        <v>1163.4000000000001</v>
      </c>
      <c r="M102" s="14">
        <f t="shared" si="23"/>
        <v>25</v>
      </c>
    </row>
    <row r="103" spans="1:13" x14ac:dyDescent="0.3">
      <c r="A103" s="14" t="str">
        <f>SKU_Master!A103</f>
        <v>MDLZ0102</v>
      </c>
      <c r="B103" s="14" t="str">
        <f>ABC_Analysis!G103</f>
        <v>A</v>
      </c>
      <c r="C103" s="14">
        <f>Demand_Stats!C103</f>
        <v>154.62</v>
      </c>
      <c r="D103" s="14">
        <f>Demand_Stats!D103</f>
        <v>52.66</v>
      </c>
      <c r="E103" s="14">
        <f>SKU_Master!F103</f>
        <v>2</v>
      </c>
      <c r="F103" s="14">
        <f t="shared" si="18"/>
        <v>2.0499999999999998</v>
      </c>
      <c r="G103" s="14">
        <f t="shared" si="19"/>
        <v>152.69999999999999</v>
      </c>
      <c r="H103" s="14">
        <f t="shared" si="20"/>
        <v>461.9</v>
      </c>
      <c r="I103" s="19">
        <v>72</v>
      </c>
      <c r="J103" s="14" t="str">
        <f t="shared" si="21"/>
        <v>REORDER NOW</v>
      </c>
      <c r="K103" s="14">
        <f>SKU_Master!H103</f>
        <v>60</v>
      </c>
      <c r="L103" s="14">
        <f t="shared" si="22"/>
        <v>1936.1</v>
      </c>
      <c r="M103" s="14">
        <f t="shared" si="23"/>
        <v>33</v>
      </c>
    </row>
    <row r="104" spans="1:13" x14ac:dyDescent="0.3">
      <c r="A104" s="14" t="str">
        <f>SKU_Master!A104</f>
        <v>MDLZ0103</v>
      </c>
      <c r="B104" s="14" t="str">
        <f>ABC_Analysis!G104</f>
        <v>B</v>
      </c>
      <c r="C104" s="14">
        <f>Demand_Stats!C104</f>
        <v>59.49</v>
      </c>
      <c r="D104" s="14">
        <f>Demand_Stats!D104</f>
        <v>23.11</v>
      </c>
      <c r="E104" s="14">
        <f>SKU_Master!F104</f>
        <v>7</v>
      </c>
      <c r="F104" s="14">
        <f t="shared" si="18"/>
        <v>1.65</v>
      </c>
      <c r="G104" s="14">
        <f t="shared" si="19"/>
        <v>100.9</v>
      </c>
      <c r="H104" s="14">
        <f t="shared" si="20"/>
        <v>517.29999999999995</v>
      </c>
      <c r="I104" s="19">
        <v>235</v>
      </c>
      <c r="J104" s="14" t="str">
        <f t="shared" si="21"/>
        <v>REORDER NOW</v>
      </c>
      <c r="K104" s="14">
        <f>SKU_Master!H104</f>
        <v>48</v>
      </c>
      <c r="L104" s="14">
        <f t="shared" si="22"/>
        <v>877.19999999999982</v>
      </c>
      <c r="M104" s="14">
        <f t="shared" si="23"/>
        <v>19</v>
      </c>
    </row>
    <row r="105" spans="1:13" x14ac:dyDescent="0.3">
      <c r="A105" s="14" t="str">
        <f>SKU_Master!A105</f>
        <v>MDLZ0104</v>
      </c>
      <c r="B105" s="14" t="str">
        <f>ABC_Analysis!G105</f>
        <v>B</v>
      </c>
      <c r="C105" s="14">
        <f>Demand_Stats!C105</f>
        <v>80.2</v>
      </c>
      <c r="D105" s="14">
        <f>Demand_Stats!D105</f>
        <v>34.25</v>
      </c>
      <c r="E105" s="14">
        <f>SKU_Master!F105</f>
        <v>4</v>
      </c>
      <c r="F105" s="14">
        <f t="shared" si="18"/>
        <v>1.65</v>
      </c>
      <c r="G105" s="14">
        <f t="shared" si="19"/>
        <v>113</v>
      </c>
      <c r="H105" s="14">
        <f t="shared" si="20"/>
        <v>433.8</v>
      </c>
      <c r="I105" s="19">
        <v>248</v>
      </c>
      <c r="J105" s="14" t="str">
        <f t="shared" si="21"/>
        <v>REORDER NOW</v>
      </c>
      <c r="K105" s="14">
        <f>SKU_Master!H105</f>
        <v>60</v>
      </c>
      <c r="L105" s="14">
        <f t="shared" si="22"/>
        <v>987.8</v>
      </c>
      <c r="M105" s="14">
        <f t="shared" si="23"/>
        <v>17</v>
      </c>
    </row>
    <row r="106" spans="1:13" x14ac:dyDescent="0.3">
      <c r="A106" s="14" t="str">
        <f>SKU_Master!A106</f>
        <v>MDLZ0105</v>
      </c>
      <c r="B106" s="14" t="str">
        <f>ABC_Analysis!G106</f>
        <v>C</v>
      </c>
      <c r="C106" s="14">
        <f>Demand_Stats!C106</f>
        <v>34.61</v>
      </c>
      <c r="D106" s="14">
        <f>Demand_Stats!D106</f>
        <v>14.66</v>
      </c>
      <c r="E106" s="14">
        <f>SKU_Master!F106</f>
        <v>3</v>
      </c>
      <c r="F106" s="14">
        <f t="shared" si="18"/>
        <v>1.28</v>
      </c>
      <c r="G106" s="14">
        <f t="shared" si="19"/>
        <v>32.5</v>
      </c>
      <c r="H106" s="14">
        <f t="shared" si="20"/>
        <v>136.30000000000001</v>
      </c>
      <c r="I106" s="19">
        <v>21</v>
      </c>
      <c r="J106" s="14" t="str">
        <f t="shared" si="21"/>
        <v>REORDER NOW</v>
      </c>
      <c r="K106" s="14">
        <f>SKU_Master!H106</f>
        <v>54</v>
      </c>
      <c r="L106" s="14">
        <f t="shared" si="22"/>
        <v>461.40000000000003</v>
      </c>
      <c r="M106" s="14">
        <f t="shared" si="23"/>
        <v>9</v>
      </c>
    </row>
    <row r="107" spans="1:13" x14ac:dyDescent="0.3">
      <c r="A107" s="14" t="str">
        <f>SKU_Master!A107</f>
        <v>MDLZ0106</v>
      </c>
      <c r="B107" s="14" t="str">
        <f>ABC_Analysis!G107</f>
        <v>A</v>
      </c>
      <c r="C107" s="14">
        <f>Demand_Stats!C107</f>
        <v>128.6</v>
      </c>
      <c r="D107" s="14">
        <f>Demand_Stats!D107</f>
        <v>49.07</v>
      </c>
      <c r="E107" s="14">
        <f>SKU_Master!F107</f>
        <v>2</v>
      </c>
      <c r="F107" s="14">
        <f t="shared" si="18"/>
        <v>2.0499999999999998</v>
      </c>
      <c r="G107" s="14">
        <f t="shared" si="19"/>
        <v>142.30000000000001</v>
      </c>
      <c r="H107" s="14">
        <f t="shared" si="20"/>
        <v>399.5</v>
      </c>
      <c r="I107" s="19">
        <v>238</v>
      </c>
      <c r="J107" s="14" t="str">
        <f t="shared" si="21"/>
        <v>REORDER NOW</v>
      </c>
      <c r="K107" s="14">
        <f>SKU_Master!H107</f>
        <v>42</v>
      </c>
      <c r="L107" s="14">
        <f t="shared" si="22"/>
        <v>1447.5</v>
      </c>
      <c r="M107" s="14">
        <f t="shared" si="23"/>
        <v>35</v>
      </c>
    </row>
    <row r="108" spans="1:13" x14ac:dyDescent="0.3">
      <c r="A108" s="14" t="str">
        <f>SKU_Master!A108</f>
        <v>MDLZ0107</v>
      </c>
      <c r="B108" s="14" t="str">
        <f>ABC_Analysis!G108</f>
        <v>C</v>
      </c>
      <c r="C108" s="14">
        <f>Demand_Stats!C108</f>
        <v>127.04</v>
      </c>
      <c r="D108" s="14">
        <f>Demand_Stats!D108</f>
        <v>49.97</v>
      </c>
      <c r="E108" s="14">
        <f>SKU_Master!F108</f>
        <v>4</v>
      </c>
      <c r="F108" s="14">
        <f t="shared" si="18"/>
        <v>1.28</v>
      </c>
      <c r="G108" s="14">
        <f t="shared" si="19"/>
        <v>127.9</v>
      </c>
      <c r="H108" s="14">
        <f t="shared" si="20"/>
        <v>636.1</v>
      </c>
      <c r="I108" s="19">
        <v>117</v>
      </c>
      <c r="J108" s="14" t="str">
        <f t="shared" si="21"/>
        <v>REORDER NOW</v>
      </c>
      <c r="K108" s="14">
        <f>SKU_Master!H108</f>
        <v>24</v>
      </c>
      <c r="L108" s="14">
        <f t="shared" si="22"/>
        <v>1789.5</v>
      </c>
      <c r="M108" s="14">
        <f t="shared" si="23"/>
        <v>75</v>
      </c>
    </row>
    <row r="109" spans="1:13" x14ac:dyDescent="0.3">
      <c r="A109" s="14" t="str">
        <f>SKU_Master!A109</f>
        <v>MDLZ0108</v>
      </c>
      <c r="B109" s="14" t="str">
        <f>ABC_Analysis!G109</f>
        <v>C</v>
      </c>
      <c r="C109" s="14">
        <f>Demand_Stats!C109</f>
        <v>63.53</v>
      </c>
      <c r="D109" s="14">
        <f>Demand_Stats!D109</f>
        <v>25.79</v>
      </c>
      <c r="E109" s="14">
        <f>SKU_Master!F109</f>
        <v>5</v>
      </c>
      <c r="F109" s="14">
        <f t="shared" si="18"/>
        <v>1.28</v>
      </c>
      <c r="G109" s="14">
        <f t="shared" si="19"/>
        <v>73.8</v>
      </c>
      <c r="H109" s="14">
        <f t="shared" si="20"/>
        <v>391.5</v>
      </c>
      <c r="I109" s="19">
        <v>617</v>
      </c>
      <c r="J109" s="14" t="str">
        <f t="shared" si="21"/>
        <v>OK</v>
      </c>
      <c r="K109" s="14">
        <f>SKU_Master!H109</f>
        <v>24</v>
      </c>
      <c r="L109" s="14">
        <f t="shared" si="22"/>
        <v>409.79999999999995</v>
      </c>
      <c r="M109" s="14">
        <f t="shared" si="23"/>
        <v>18</v>
      </c>
    </row>
    <row r="110" spans="1:13" x14ac:dyDescent="0.3">
      <c r="A110" s="14" t="str">
        <f>SKU_Master!A110</f>
        <v>MDLZ0109</v>
      </c>
      <c r="B110" s="14" t="str">
        <f>ABC_Analysis!G110</f>
        <v>B</v>
      </c>
      <c r="C110" s="14">
        <f>Demand_Stats!C110</f>
        <v>109.31</v>
      </c>
      <c r="D110" s="14">
        <f>Demand_Stats!D110</f>
        <v>43.63</v>
      </c>
      <c r="E110" s="14">
        <f>SKU_Master!F110</f>
        <v>5</v>
      </c>
      <c r="F110" s="14">
        <f t="shared" si="18"/>
        <v>1.65</v>
      </c>
      <c r="G110" s="14">
        <f t="shared" si="19"/>
        <v>161</v>
      </c>
      <c r="H110" s="14">
        <f t="shared" si="20"/>
        <v>707.6</v>
      </c>
      <c r="I110" s="19">
        <v>47</v>
      </c>
      <c r="J110" s="14" t="str">
        <f t="shared" si="21"/>
        <v>REORDER NOW</v>
      </c>
      <c r="K110" s="14">
        <f>SKU_Master!H110</f>
        <v>36</v>
      </c>
      <c r="L110" s="14">
        <f t="shared" si="22"/>
        <v>1753.6999999999998</v>
      </c>
      <c r="M110" s="14">
        <f t="shared" si="23"/>
        <v>49</v>
      </c>
    </row>
    <row r="111" spans="1:13" x14ac:dyDescent="0.3">
      <c r="A111" s="14" t="str">
        <f>SKU_Master!A111</f>
        <v>MDLZ0110</v>
      </c>
      <c r="B111" s="14" t="str">
        <f>ABC_Analysis!G111</f>
        <v>C</v>
      </c>
      <c r="C111" s="14">
        <f>Demand_Stats!C111</f>
        <v>86.76</v>
      </c>
      <c r="D111" s="14">
        <f>Demand_Stats!D111</f>
        <v>33.43</v>
      </c>
      <c r="E111" s="14">
        <f>SKU_Master!F111</f>
        <v>2</v>
      </c>
      <c r="F111" s="14">
        <f t="shared" si="18"/>
        <v>1.28</v>
      </c>
      <c r="G111" s="14">
        <f t="shared" si="19"/>
        <v>60.5</v>
      </c>
      <c r="H111" s="14">
        <f t="shared" si="20"/>
        <v>234</v>
      </c>
      <c r="I111" s="19">
        <v>245</v>
      </c>
      <c r="J111" s="14" t="str">
        <f t="shared" si="21"/>
        <v>OK</v>
      </c>
      <c r="K111" s="14">
        <f>SKU_Master!H111</f>
        <v>54</v>
      </c>
      <c r="L111" s="14">
        <f t="shared" si="22"/>
        <v>856.59999999999991</v>
      </c>
      <c r="M111" s="14">
        <f t="shared" si="23"/>
        <v>16</v>
      </c>
    </row>
    <row r="112" spans="1:13" x14ac:dyDescent="0.3">
      <c r="A112" s="14" t="str">
        <f>SKU_Master!A112</f>
        <v>MDLZ0111</v>
      </c>
      <c r="B112" s="14" t="str">
        <f>ABC_Analysis!G112</f>
        <v>C</v>
      </c>
      <c r="C112" s="14">
        <f>Demand_Stats!C112</f>
        <v>54.59</v>
      </c>
      <c r="D112" s="14">
        <f>Demand_Stats!D112</f>
        <v>19.73</v>
      </c>
      <c r="E112" s="14">
        <f>SKU_Master!F112</f>
        <v>14</v>
      </c>
      <c r="F112" s="14">
        <f t="shared" si="18"/>
        <v>1.28</v>
      </c>
      <c r="G112" s="14">
        <f t="shared" si="19"/>
        <v>94.5</v>
      </c>
      <c r="H112" s="14">
        <f t="shared" si="20"/>
        <v>858.8</v>
      </c>
      <c r="I112" s="19">
        <v>1456</v>
      </c>
      <c r="J112" s="14" t="str">
        <f t="shared" si="21"/>
        <v>OK</v>
      </c>
      <c r="K112" s="14">
        <f>SKU_Master!H112</f>
        <v>30</v>
      </c>
      <c r="L112" s="14">
        <f t="shared" si="22"/>
        <v>0</v>
      </c>
      <c r="M112" s="14">
        <f t="shared" si="23"/>
        <v>0</v>
      </c>
    </row>
    <row r="113" spans="1:13" x14ac:dyDescent="0.3">
      <c r="A113" s="14" t="str">
        <f>SKU_Master!A113</f>
        <v>MDLZ0112</v>
      </c>
      <c r="B113" s="14" t="str">
        <f>ABC_Analysis!G113</f>
        <v>C</v>
      </c>
      <c r="C113" s="14">
        <f>Demand_Stats!C113</f>
        <v>65</v>
      </c>
      <c r="D113" s="14">
        <f>Demand_Stats!D113</f>
        <v>34.76</v>
      </c>
      <c r="E113" s="14">
        <f>SKU_Master!F113</f>
        <v>14</v>
      </c>
      <c r="F113" s="14">
        <f t="shared" si="18"/>
        <v>1.28</v>
      </c>
      <c r="G113" s="14">
        <f t="shared" si="19"/>
        <v>166.5</v>
      </c>
      <c r="H113" s="14">
        <f t="shared" si="20"/>
        <v>1076.5</v>
      </c>
      <c r="I113" s="19">
        <v>116</v>
      </c>
      <c r="J113" s="14" t="str">
        <f t="shared" si="21"/>
        <v>REORDER NOW</v>
      </c>
      <c r="K113" s="14">
        <f>SKU_Master!H113</f>
        <v>30</v>
      </c>
      <c r="L113" s="14">
        <f t="shared" si="22"/>
        <v>1610.5</v>
      </c>
      <c r="M113" s="14">
        <f t="shared" si="23"/>
        <v>54</v>
      </c>
    </row>
    <row r="114" spans="1:13" x14ac:dyDescent="0.3">
      <c r="A114" s="14" t="str">
        <f>SKU_Master!A114</f>
        <v>MDLZ0113</v>
      </c>
      <c r="B114" s="14" t="str">
        <f>ABC_Analysis!G114</f>
        <v>B</v>
      </c>
      <c r="C114" s="14">
        <f>Demand_Stats!C114</f>
        <v>80.77</v>
      </c>
      <c r="D114" s="14">
        <f>Demand_Stats!D114</f>
        <v>37.4</v>
      </c>
      <c r="E114" s="14">
        <f>SKU_Master!F114</f>
        <v>4</v>
      </c>
      <c r="F114" s="14">
        <f t="shared" si="18"/>
        <v>1.65</v>
      </c>
      <c r="G114" s="14">
        <f t="shared" si="19"/>
        <v>123.4</v>
      </c>
      <c r="H114" s="14">
        <f t="shared" si="20"/>
        <v>446.5</v>
      </c>
      <c r="I114" s="19">
        <v>487</v>
      </c>
      <c r="J114" s="14" t="str">
        <f t="shared" si="21"/>
        <v>OK</v>
      </c>
      <c r="K114" s="14">
        <f>SKU_Master!H114</f>
        <v>36</v>
      </c>
      <c r="L114" s="14">
        <f t="shared" si="22"/>
        <v>767.19999999999982</v>
      </c>
      <c r="M114" s="14">
        <f t="shared" si="23"/>
        <v>22</v>
      </c>
    </row>
    <row r="115" spans="1:13" x14ac:dyDescent="0.3">
      <c r="A115" s="14" t="str">
        <f>SKU_Master!A115</f>
        <v>MDLZ0114</v>
      </c>
      <c r="B115" s="14" t="str">
        <f>ABC_Analysis!G115</f>
        <v>B</v>
      </c>
      <c r="C115" s="14">
        <f>Demand_Stats!C115</f>
        <v>109.64</v>
      </c>
      <c r="D115" s="14">
        <f>Demand_Stats!D115</f>
        <v>41.09</v>
      </c>
      <c r="E115" s="14">
        <f>SKU_Master!F115</f>
        <v>2</v>
      </c>
      <c r="F115" s="14">
        <f t="shared" si="18"/>
        <v>1.65</v>
      </c>
      <c r="G115" s="14">
        <f t="shared" si="19"/>
        <v>95.9</v>
      </c>
      <c r="H115" s="14">
        <f t="shared" si="20"/>
        <v>315.2</v>
      </c>
      <c r="I115" s="19">
        <v>109</v>
      </c>
      <c r="J115" s="14" t="str">
        <f t="shared" si="21"/>
        <v>REORDER NOW</v>
      </c>
      <c r="K115" s="14">
        <f>SKU_Master!H115</f>
        <v>42</v>
      </c>
      <c r="L115" s="14">
        <f t="shared" si="22"/>
        <v>1302.6000000000001</v>
      </c>
      <c r="M115" s="14">
        <f t="shared" si="23"/>
        <v>32</v>
      </c>
    </row>
    <row r="116" spans="1:13" x14ac:dyDescent="0.3">
      <c r="A116" s="14" t="str">
        <f>SKU_Master!A116</f>
        <v>MDLZ0115</v>
      </c>
      <c r="B116" s="14" t="str">
        <f>ABC_Analysis!G116</f>
        <v>B</v>
      </c>
      <c r="C116" s="14">
        <f>Demand_Stats!C116</f>
        <v>79.86</v>
      </c>
      <c r="D116" s="14">
        <f>Demand_Stats!D116</f>
        <v>27.35</v>
      </c>
      <c r="E116" s="14">
        <f>SKU_Master!F116</f>
        <v>7</v>
      </c>
      <c r="F116" s="14">
        <f t="shared" si="18"/>
        <v>1.65</v>
      </c>
      <c r="G116" s="14">
        <f t="shared" si="19"/>
        <v>119.4</v>
      </c>
      <c r="H116" s="14">
        <f t="shared" si="20"/>
        <v>678.4</v>
      </c>
      <c r="I116" s="19">
        <v>1213</v>
      </c>
      <c r="J116" s="14" t="str">
        <f t="shared" si="21"/>
        <v>OK</v>
      </c>
      <c r="K116" s="14">
        <f>SKU_Master!H116</f>
        <v>42</v>
      </c>
      <c r="L116" s="14">
        <f t="shared" si="22"/>
        <v>264</v>
      </c>
      <c r="M116" s="14">
        <f t="shared" si="23"/>
        <v>7</v>
      </c>
    </row>
    <row r="117" spans="1:13" x14ac:dyDescent="0.3">
      <c r="A117" s="14" t="str">
        <f>SKU_Master!A117</f>
        <v>MDLZ0116</v>
      </c>
      <c r="B117" s="14" t="str">
        <f>ABC_Analysis!G117</f>
        <v>B</v>
      </c>
      <c r="C117" s="14">
        <f>Demand_Stats!C117</f>
        <v>124.41</v>
      </c>
      <c r="D117" s="14">
        <f>Demand_Stats!D117</f>
        <v>58.91</v>
      </c>
      <c r="E117" s="14">
        <f>SKU_Master!F117</f>
        <v>4</v>
      </c>
      <c r="F117" s="14">
        <f t="shared" si="18"/>
        <v>1.65</v>
      </c>
      <c r="G117" s="14">
        <f t="shared" si="19"/>
        <v>194.4</v>
      </c>
      <c r="H117" s="14">
        <f t="shared" si="20"/>
        <v>692</v>
      </c>
      <c r="I117" s="19">
        <v>906</v>
      </c>
      <c r="J117" s="14" t="str">
        <f t="shared" si="21"/>
        <v>OK</v>
      </c>
      <c r="K117" s="14">
        <f>SKU_Master!H117</f>
        <v>60</v>
      </c>
      <c r="L117" s="14">
        <f t="shared" si="22"/>
        <v>1030.0999999999999</v>
      </c>
      <c r="M117" s="14">
        <f t="shared" si="23"/>
        <v>18</v>
      </c>
    </row>
    <row r="118" spans="1:13" x14ac:dyDescent="0.3">
      <c r="A118" s="14" t="str">
        <f>SKU_Master!A118</f>
        <v>MDLZ0117</v>
      </c>
      <c r="B118" s="14" t="str">
        <f>ABC_Analysis!G118</f>
        <v>C</v>
      </c>
      <c r="C118" s="14">
        <f>Demand_Stats!C118</f>
        <v>71.510000000000005</v>
      </c>
      <c r="D118" s="14">
        <f>Demand_Stats!D118</f>
        <v>29.51</v>
      </c>
      <c r="E118" s="14">
        <f>SKU_Master!F118</f>
        <v>4</v>
      </c>
      <c r="F118" s="14">
        <f t="shared" si="18"/>
        <v>1.28</v>
      </c>
      <c r="G118" s="14">
        <f t="shared" si="19"/>
        <v>75.5</v>
      </c>
      <c r="H118" s="14">
        <f t="shared" si="20"/>
        <v>361.5</v>
      </c>
      <c r="I118" s="19">
        <v>209</v>
      </c>
      <c r="J118" s="14" t="str">
        <f t="shared" si="21"/>
        <v>REORDER NOW</v>
      </c>
      <c r="K118" s="14">
        <f>SKU_Master!H118</f>
        <v>42</v>
      </c>
      <c r="L118" s="14">
        <f t="shared" si="22"/>
        <v>867.59999999999991</v>
      </c>
      <c r="M118" s="14">
        <f t="shared" si="23"/>
        <v>21</v>
      </c>
    </row>
    <row r="119" spans="1:13" x14ac:dyDescent="0.3">
      <c r="A119" s="14" t="str">
        <f>SKU_Master!A119</f>
        <v>MDLZ0118</v>
      </c>
      <c r="B119" s="14" t="str">
        <f>ABC_Analysis!G119</f>
        <v>B</v>
      </c>
      <c r="C119" s="14">
        <f>Demand_Stats!C119</f>
        <v>126.37</v>
      </c>
      <c r="D119" s="14">
        <f>Demand_Stats!D119</f>
        <v>47.24</v>
      </c>
      <c r="E119" s="14">
        <f>SKU_Master!F119</f>
        <v>4</v>
      </c>
      <c r="F119" s="14">
        <f t="shared" si="18"/>
        <v>1.65</v>
      </c>
      <c r="G119" s="14">
        <f t="shared" si="19"/>
        <v>155.9</v>
      </c>
      <c r="H119" s="14">
        <f t="shared" si="20"/>
        <v>661.4</v>
      </c>
      <c r="I119" s="19">
        <v>146</v>
      </c>
      <c r="J119" s="14" t="str">
        <f t="shared" si="21"/>
        <v>REORDER NOW</v>
      </c>
      <c r="K119" s="14">
        <f>SKU_Master!H119</f>
        <v>24</v>
      </c>
      <c r="L119" s="14">
        <f t="shared" si="22"/>
        <v>1779.1</v>
      </c>
      <c r="M119" s="14">
        <f t="shared" si="23"/>
        <v>75</v>
      </c>
    </row>
    <row r="120" spans="1:13" x14ac:dyDescent="0.3">
      <c r="A120" s="14" t="str">
        <f>SKU_Master!A120</f>
        <v>MDLZ0119</v>
      </c>
      <c r="B120" s="14" t="str">
        <f>ABC_Analysis!G120</f>
        <v>B</v>
      </c>
      <c r="C120" s="14">
        <f>Demand_Stats!C120</f>
        <v>55.9</v>
      </c>
      <c r="D120" s="14">
        <f>Demand_Stats!D120</f>
        <v>24.12</v>
      </c>
      <c r="E120" s="14">
        <f>SKU_Master!F120</f>
        <v>5</v>
      </c>
      <c r="F120" s="14">
        <f t="shared" si="18"/>
        <v>1.65</v>
      </c>
      <c r="G120" s="14">
        <f t="shared" si="19"/>
        <v>89</v>
      </c>
      <c r="H120" s="14">
        <f t="shared" si="20"/>
        <v>368.5</v>
      </c>
      <c r="I120" s="19">
        <v>282</v>
      </c>
      <c r="J120" s="14" t="str">
        <f t="shared" si="21"/>
        <v>REORDER NOW</v>
      </c>
      <c r="K120" s="14">
        <f>SKU_Master!H120</f>
        <v>48</v>
      </c>
      <c r="L120" s="14">
        <f t="shared" si="22"/>
        <v>645.5</v>
      </c>
      <c r="M120" s="14">
        <f t="shared" si="23"/>
        <v>14</v>
      </c>
    </row>
    <row r="121" spans="1:13" x14ac:dyDescent="0.3">
      <c r="A121" s="14" t="str">
        <f>SKU_Master!A121</f>
        <v>MDLZ0120</v>
      </c>
      <c r="B121" s="14" t="str">
        <f>ABC_Analysis!G121</f>
        <v>A</v>
      </c>
      <c r="C121" s="14">
        <f>Demand_Stats!C121</f>
        <v>238.01</v>
      </c>
      <c r="D121" s="14">
        <f>Demand_Stats!D121</f>
        <v>82.04</v>
      </c>
      <c r="E121" s="14">
        <f>SKU_Master!F121</f>
        <v>5</v>
      </c>
      <c r="F121" s="14">
        <f t="shared" si="18"/>
        <v>2.0499999999999998</v>
      </c>
      <c r="G121" s="14">
        <f t="shared" si="19"/>
        <v>376.1</v>
      </c>
      <c r="H121" s="14">
        <f t="shared" si="20"/>
        <v>1566.2</v>
      </c>
      <c r="I121" s="19">
        <v>98</v>
      </c>
      <c r="J121" s="14" t="str">
        <f t="shared" si="21"/>
        <v>REORDER NOW</v>
      </c>
      <c r="K121" s="14">
        <f>SKU_Master!H121</f>
        <v>60</v>
      </c>
      <c r="L121" s="14">
        <f t="shared" si="22"/>
        <v>3848.3</v>
      </c>
      <c r="M121" s="14">
        <f t="shared" si="23"/>
        <v>65</v>
      </c>
    </row>
    <row r="122" spans="1:13" x14ac:dyDescent="0.3">
      <c r="A122" s="14" t="str">
        <f>SKU_Master!A122</f>
        <v>MDLZ0121</v>
      </c>
      <c r="B122" s="14" t="str">
        <f>ABC_Analysis!G122</f>
        <v>B</v>
      </c>
      <c r="C122" s="14">
        <f>Demand_Stats!C122</f>
        <v>19.61</v>
      </c>
      <c r="D122" s="14">
        <f>Demand_Stats!D122</f>
        <v>23.35</v>
      </c>
      <c r="E122" s="14">
        <f>SKU_Master!F122</f>
        <v>7</v>
      </c>
      <c r="F122" s="14">
        <f t="shared" si="18"/>
        <v>1.65</v>
      </c>
      <c r="G122" s="14">
        <f t="shared" si="19"/>
        <v>101.9</v>
      </c>
      <c r="H122" s="14">
        <f t="shared" si="20"/>
        <v>239.2</v>
      </c>
      <c r="I122" s="19">
        <v>75</v>
      </c>
      <c r="J122" s="14" t="str">
        <f t="shared" si="21"/>
        <v>REORDER NOW</v>
      </c>
      <c r="K122" s="14">
        <f>SKU_Master!H122</f>
        <v>6</v>
      </c>
      <c r="L122" s="14">
        <f t="shared" si="22"/>
        <v>360.29999999999995</v>
      </c>
      <c r="M122" s="14">
        <f t="shared" si="23"/>
        <v>61</v>
      </c>
    </row>
    <row r="123" spans="1:13" x14ac:dyDescent="0.3">
      <c r="A123" s="14" t="str">
        <f>SKU_Master!A123</f>
        <v>MDLZ0122</v>
      </c>
      <c r="B123" s="14" t="str">
        <f>ABC_Analysis!G123</f>
        <v>A</v>
      </c>
      <c r="C123" s="14">
        <f>Demand_Stats!C123</f>
        <v>21.91</v>
      </c>
      <c r="D123" s="14">
        <f>Demand_Stats!D123</f>
        <v>24</v>
      </c>
      <c r="E123" s="14">
        <f>SKU_Master!F123</f>
        <v>2</v>
      </c>
      <c r="F123" s="14">
        <f t="shared" si="18"/>
        <v>2.0499999999999998</v>
      </c>
      <c r="G123" s="14">
        <f t="shared" si="19"/>
        <v>69.599999999999994</v>
      </c>
      <c r="H123" s="14">
        <f t="shared" si="20"/>
        <v>113.4</v>
      </c>
      <c r="I123" s="19">
        <v>194</v>
      </c>
      <c r="J123" s="14" t="str">
        <f t="shared" si="21"/>
        <v>OK</v>
      </c>
      <c r="K123" s="14">
        <f>SKU_Master!H123</f>
        <v>6</v>
      </c>
      <c r="L123" s="14">
        <f t="shared" si="22"/>
        <v>138.5</v>
      </c>
      <c r="M123" s="14">
        <f t="shared" si="23"/>
        <v>24</v>
      </c>
    </row>
    <row r="124" spans="1:13" x14ac:dyDescent="0.3">
      <c r="A124" s="14" t="str">
        <f>SKU_Master!A124</f>
        <v>MDLZ0123</v>
      </c>
      <c r="B124" s="14" t="str">
        <f>ABC_Analysis!G124</f>
        <v>A</v>
      </c>
      <c r="C124" s="14">
        <f>Demand_Stats!C124</f>
        <v>62.11</v>
      </c>
      <c r="D124" s="14">
        <f>Demand_Stats!D124</f>
        <v>62.85</v>
      </c>
      <c r="E124" s="14">
        <f>SKU_Master!F124</f>
        <v>14</v>
      </c>
      <c r="F124" s="14">
        <f t="shared" si="18"/>
        <v>2.0499999999999998</v>
      </c>
      <c r="G124" s="14">
        <f t="shared" si="19"/>
        <v>482.1</v>
      </c>
      <c r="H124" s="14">
        <f t="shared" si="20"/>
        <v>1351.6</v>
      </c>
      <c r="I124" s="19">
        <v>314</v>
      </c>
      <c r="J124" s="14" t="str">
        <f t="shared" si="21"/>
        <v>REORDER NOW</v>
      </c>
      <c r="K124" s="14">
        <f>SKU_Master!H124</f>
        <v>12</v>
      </c>
      <c r="L124" s="14">
        <f t="shared" si="22"/>
        <v>1658.6999999999998</v>
      </c>
      <c r="M124" s="14">
        <f t="shared" si="23"/>
        <v>139</v>
      </c>
    </row>
    <row r="125" spans="1:13" x14ac:dyDescent="0.3">
      <c r="A125" s="14" t="str">
        <f>SKU_Master!A125</f>
        <v>MDLZ0124</v>
      </c>
      <c r="B125" s="14" t="str">
        <f>ABC_Analysis!G125</f>
        <v>A</v>
      </c>
      <c r="C125" s="14">
        <f>Demand_Stats!C125</f>
        <v>21.41</v>
      </c>
      <c r="D125" s="14">
        <f>Demand_Stats!D125</f>
        <v>26.95</v>
      </c>
      <c r="E125" s="14">
        <f>SKU_Master!F125</f>
        <v>3</v>
      </c>
      <c r="F125" s="14">
        <f t="shared" si="18"/>
        <v>2.0499999999999998</v>
      </c>
      <c r="G125" s="14">
        <f t="shared" si="19"/>
        <v>95.7</v>
      </c>
      <c r="H125" s="14">
        <f t="shared" si="20"/>
        <v>159.9</v>
      </c>
      <c r="I125" s="19">
        <v>127</v>
      </c>
      <c r="J125" s="14" t="str">
        <f t="shared" si="21"/>
        <v>REORDER NOW</v>
      </c>
      <c r="K125" s="14">
        <f>SKU_Master!H125</f>
        <v>6</v>
      </c>
      <c r="L125" s="14">
        <f t="shared" si="22"/>
        <v>247</v>
      </c>
      <c r="M125" s="14">
        <f t="shared" si="23"/>
        <v>42</v>
      </c>
    </row>
    <row r="126" spans="1:13" x14ac:dyDescent="0.3">
      <c r="A126" s="14" t="str">
        <f>SKU_Master!A126</f>
        <v>MDLZ0125</v>
      </c>
      <c r="B126" s="14" t="str">
        <f>ABC_Analysis!G126</f>
        <v>B</v>
      </c>
      <c r="C126" s="14">
        <f>Demand_Stats!C126</f>
        <v>15.5</v>
      </c>
      <c r="D126" s="14">
        <f>Demand_Stats!D126</f>
        <v>14.6</v>
      </c>
      <c r="E126" s="14">
        <f>SKU_Master!F126</f>
        <v>5</v>
      </c>
      <c r="F126" s="14">
        <f t="shared" si="18"/>
        <v>1.65</v>
      </c>
      <c r="G126" s="14">
        <f t="shared" si="19"/>
        <v>53.9</v>
      </c>
      <c r="H126" s="14">
        <f t="shared" si="20"/>
        <v>131.4</v>
      </c>
      <c r="I126" s="19">
        <v>3</v>
      </c>
      <c r="J126" s="14" t="str">
        <f t="shared" si="21"/>
        <v>REORDER NOW</v>
      </c>
      <c r="K126" s="14">
        <f>SKU_Master!H126</f>
        <v>12</v>
      </c>
      <c r="L126" s="14">
        <f t="shared" si="22"/>
        <v>283.39999999999998</v>
      </c>
      <c r="M126" s="14">
        <f t="shared" si="23"/>
        <v>24</v>
      </c>
    </row>
    <row r="127" spans="1:13" x14ac:dyDescent="0.3">
      <c r="A127" s="14" t="str">
        <f>SKU_Master!A127</f>
        <v>MDLZ0126</v>
      </c>
      <c r="B127" s="14" t="str">
        <f>ABC_Analysis!G127</f>
        <v>A</v>
      </c>
      <c r="C127" s="14">
        <f>Demand_Stats!C127</f>
        <v>19.41</v>
      </c>
      <c r="D127" s="14">
        <f>Demand_Stats!D127</f>
        <v>21.93</v>
      </c>
      <c r="E127" s="14">
        <f>SKU_Master!F127</f>
        <v>4</v>
      </c>
      <c r="F127" s="14">
        <f t="shared" si="18"/>
        <v>2.0499999999999998</v>
      </c>
      <c r="G127" s="14">
        <f t="shared" si="19"/>
        <v>89.9</v>
      </c>
      <c r="H127" s="14">
        <f t="shared" si="20"/>
        <v>167.5</v>
      </c>
      <c r="I127" s="19">
        <v>55</v>
      </c>
      <c r="J127" s="14" t="str">
        <f t="shared" si="21"/>
        <v>REORDER NOW</v>
      </c>
      <c r="K127" s="14">
        <f>SKU_Master!H127</f>
        <v>6</v>
      </c>
      <c r="L127" s="14">
        <f t="shared" si="22"/>
        <v>306.60000000000002</v>
      </c>
      <c r="M127" s="14">
        <f t="shared" si="23"/>
        <v>52</v>
      </c>
    </row>
    <row r="128" spans="1:13" x14ac:dyDescent="0.3">
      <c r="A128" s="14" t="str">
        <f>SKU_Master!A128</f>
        <v>MDLZ0127</v>
      </c>
      <c r="B128" s="14" t="str">
        <f>ABC_Analysis!G128</f>
        <v>A</v>
      </c>
      <c r="C128" s="14">
        <f>Demand_Stats!C128</f>
        <v>20.72</v>
      </c>
      <c r="D128" s="14">
        <f>Demand_Stats!D128</f>
        <v>19.97</v>
      </c>
      <c r="E128" s="14">
        <f>SKU_Master!F128</f>
        <v>14</v>
      </c>
      <c r="F128" s="14">
        <f t="shared" si="18"/>
        <v>2.0499999999999998</v>
      </c>
      <c r="G128" s="14">
        <f t="shared" si="19"/>
        <v>153.19999999999999</v>
      </c>
      <c r="H128" s="14">
        <f t="shared" si="20"/>
        <v>443.3</v>
      </c>
      <c r="I128" s="19">
        <v>651</v>
      </c>
      <c r="J128" s="14" t="str">
        <f t="shared" si="21"/>
        <v>OK</v>
      </c>
      <c r="K128" s="14">
        <f>SKU_Master!H128</f>
        <v>6</v>
      </c>
      <c r="L128" s="14">
        <f t="shared" si="22"/>
        <v>0</v>
      </c>
      <c r="M128" s="14">
        <f t="shared" si="23"/>
        <v>0</v>
      </c>
    </row>
    <row r="129" spans="1:13" x14ac:dyDescent="0.3">
      <c r="A129" s="14" t="str">
        <f>SKU_Master!A129</f>
        <v>MDLZ0128</v>
      </c>
      <c r="B129" s="14" t="str">
        <f>ABC_Analysis!G129</f>
        <v>A</v>
      </c>
      <c r="C129" s="14">
        <f>Demand_Stats!C129</f>
        <v>18.18</v>
      </c>
      <c r="D129" s="14">
        <f>Demand_Stats!D129</f>
        <v>19.510000000000002</v>
      </c>
      <c r="E129" s="14">
        <f>SKU_Master!F129</f>
        <v>3</v>
      </c>
      <c r="F129" s="14">
        <f t="shared" si="18"/>
        <v>2.0499999999999998</v>
      </c>
      <c r="G129" s="14">
        <f t="shared" si="19"/>
        <v>69.3</v>
      </c>
      <c r="H129" s="14">
        <f t="shared" si="20"/>
        <v>123.8</v>
      </c>
      <c r="I129" s="19">
        <v>189</v>
      </c>
      <c r="J129" s="14" t="str">
        <f t="shared" si="21"/>
        <v>OK</v>
      </c>
      <c r="K129" s="14">
        <f>SKU_Master!H129</f>
        <v>6</v>
      </c>
      <c r="L129" s="14">
        <f t="shared" si="22"/>
        <v>116.60000000000002</v>
      </c>
      <c r="M129" s="14">
        <f t="shared" si="23"/>
        <v>20</v>
      </c>
    </row>
    <row r="130" spans="1:13" x14ac:dyDescent="0.3">
      <c r="A130" s="14" t="str">
        <f>SKU_Master!A130</f>
        <v>MDLZ0129</v>
      </c>
      <c r="B130" s="14" t="str">
        <f>ABC_Analysis!G130</f>
        <v>A</v>
      </c>
      <c r="C130" s="14">
        <f>Demand_Stats!C130</f>
        <v>19.54</v>
      </c>
      <c r="D130" s="14">
        <f>Demand_Stats!D130</f>
        <v>18.010000000000002</v>
      </c>
      <c r="E130" s="14">
        <f>SKU_Master!F130</f>
        <v>2</v>
      </c>
      <c r="F130" s="14">
        <f t="shared" ref="F130:F151" si="24">IF(B130="A",2.05,IF(B130="B",1.65,1.28))</f>
        <v>2.0499999999999998</v>
      </c>
      <c r="G130" s="14">
        <f t="shared" ref="G130:G161" si="25">ROUND(F130*D130*SQRT(E130),1)</f>
        <v>52.2</v>
      </c>
      <c r="H130" s="14">
        <f t="shared" ref="H130:H161" si="26">ROUND((C130*E130)+G130,1)</f>
        <v>91.3</v>
      </c>
      <c r="I130" s="19">
        <v>71</v>
      </c>
      <c r="J130" s="14" t="str">
        <f t="shared" ref="J130:J161" si="27">IF(I130&lt;=H130,"REORDER NOW","OK")</f>
        <v>REORDER NOW</v>
      </c>
      <c r="K130" s="14">
        <f>SKU_Master!H130</f>
        <v>6</v>
      </c>
      <c r="L130" s="14">
        <f t="shared" ref="L130:L151" si="28">MAX(0,(H130+C130*10)-I130)</f>
        <v>215.7</v>
      </c>
      <c r="M130" s="14">
        <f t="shared" ref="M130:M161" si="29">IF(K130=0,0,ROUNDUP(L130/K130,0))</f>
        <v>36</v>
      </c>
    </row>
    <row r="131" spans="1:13" x14ac:dyDescent="0.3">
      <c r="A131" s="14" t="str">
        <f>SKU_Master!A131</f>
        <v>MDLZ0130</v>
      </c>
      <c r="B131" s="14" t="str">
        <f>ABC_Analysis!G131</f>
        <v>A</v>
      </c>
      <c r="C131" s="14">
        <f>Demand_Stats!C131</f>
        <v>14.5</v>
      </c>
      <c r="D131" s="14">
        <f>Demand_Stats!D131</f>
        <v>16.25</v>
      </c>
      <c r="E131" s="14">
        <f>SKU_Master!F131</f>
        <v>3</v>
      </c>
      <c r="F131" s="14">
        <f t="shared" si="24"/>
        <v>2.0499999999999998</v>
      </c>
      <c r="G131" s="14">
        <f t="shared" si="25"/>
        <v>57.7</v>
      </c>
      <c r="H131" s="14">
        <f t="shared" si="26"/>
        <v>101.2</v>
      </c>
      <c r="I131" s="19">
        <v>25</v>
      </c>
      <c r="J131" s="14" t="str">
        <f t="shared" si="27"/>
        <v>REORDER NOW</v>
      </c>
      <c r="K131" s="14">
        <f>SKU_Master!H131</f>
        <v>6</v>
      </c>
      <c r="L131" s="14">
        <f t="shared" si="28"/>
        <v>221.2</v>
      </c>
      <c r="M131" s="14">
        <f t="shared" si="29"/>
        <v>37</v>
      </c>
    </row>
    <row r="132" spans="1:13" x14ac:dyDescent="0.3">
      <c r="A132" s="14" t="str">
        <f>SKU_Master!A132</f>
        <v>MDLZ0131</v>
      </c>
      <c r="B132" s="14" t="str">
        <f>ABC_Analysis!G132</f>
        <v>A</v>
      </c>
      <c r="C132" s="14">
        <f>Demand_Stats!C132</f>
        <v>45.54</v>
      </c>
      <c r="D132" s="14">
        <f>Demand_Stats!D132</f>
        <v>52.14</v>
      </c>
      <c r="E132" s="14">
        <f>SKU_Master!F132</f>
        <v>3</v>
      </c>
      <c r="F132" s="14">
        <f t="shared" si="24"/>
        <v>2.0499999999999998</v>
      </c>
      <c r="G132" s="14">
        <f t="shared" si="25"/>
        <v>185.1</v>
      </c>
      <c r="H132" s="14">
        <f t="shared" si="26"/>
        <v>321.7</v>
      </c>
      <c r="I132" s="19">
        <v>171</v>
      </c>
      <c r="J132" s="14" t="str">
        <f t="shared" si="27"/>
        <v>REORDER NOW</v>
      </c>
      <c r="K132" s="14">
        <f>SKU_Master!H132</f>
        <v>6</v>
      </c>
      <c r="L132" s="14">
        <f t="shared" si="28"/>
        <v>606.09999999999991</v>
      </c>
      <c r="M132" s="14">
        <f t="shared" si="29"/>
        <v>102</v>
      </c>
    </row>
    <row r="133" spans="1:13" x14ac:dyDescent="0.3">
      <c r="A133" s="14" t="str">
        <f>SKU_Master!A133</f>
        <v>MDLZ0132</v>
      </c>
      <c r="B133" s="14" t="str">
        <f>ABC_Analysis!G133</f>
        <v>A</v>
      </c>
      <c r="C133" s="14">
        <f>Demand_Stats!C133</f>
        <v>15.79</v>
      </c>
      <c r="D133" s="14">
        <f>Demand_Stats!D133</f>
        <v>15.14</v>
      </c>
      <c r="E133" s="14">
        <f>SKU_Master!F133</f>
        <v>14</v>
      </c>
      <c r="F133" s="14">
        <f t="shared" si="24"/>
        <v>2.0499999999999998</v>
      </c>
      <c r="G133" s="14">
        <f t="shared" si="25"/>
        <v>116.1</v>
      </c>
      <c r="H133" s="14">
        <f t="shared" si="26"/>
        <v>337.2</v>
      </c>
      <c r="I133" s="19">
        <v>601</v>
      </c>
      <c r="J133" s="14" t="str">
        <f t="shared" si="27"/>
        <v>OK</v>
      </c>
      <c r="K133" s="14">
        <f>SKU_Master!H133</f>
        <v>12</v>
      </c>
      <c r="L133" s="14">
        <f t="shared" si="28"/>
        <v>0</v>
      </c>
      <c r="M133" s="14">
        <f t="shared" si="29"/>
        <v>0</v>
      </c>
    </row>
    <row r="134" spans="1:13" x14ac:dyDescent="0.3">
      <c r="A134" s="14" t="str">
        <f>SKU_Master!A134</f>
        <v>MDLZ0133</v>
      </c>
      <c r="B134" s="14" t="str">
        <f>ABC_Analysis!G134</f>
        <v>A</v>
      </c>
      <c r="C134" s="14">
        <f>Demand_Stats!C134</f>
        <v>29.9</v>
      </c>
      <c r="D134" s="14">
        <f>Demand_Stats!D134</f>
        <v>30.67</v>
      </c>
      <c r="E134" s="14">
        <f>SKU_Master!F134</f>
        <v>3</v>
      </c>
      <c r="F134" s="14">
        <f t="shared" si="24"/>
        <v>2.0499999999999998</v>
      </c>
      <c r="G134" s="14">
        <f t="shared" si="25"/>
        <v>108.9</v>
      </c>
      <c r="H134" s="14">
        <f t="shared" si="26"/>
        <v>198.6</v>
      </c>
      <c r="I134" s="19">
        <v>92</v>
      </c>
      <c r="J134" s="14" t="str">
        <f t="shared" si="27"/>
        <v>REORDER NOW</v>
      </c>
      <c r="K134" s="14">
        <f>SKU_Master!H134</f>
        <v>6</v>
      </c>
      <c r="L134" s="14">
        <f t="shared" si="28"/>
        <v>405.6</v>
      </c>
      <c r="M134" s="14">
        <f t="shared" si="29"/>
        <v>68</v>
      </c>
    </row>
    <row r="135" spans="1:13" x14ac:dyDescent="0.3">
      <c r="A135" s="14" t="str">
        <f>SKU_Master!A135</f>
        <v>MDLZ0134</v>
      </c>
      <c r="B135" s="14" t="str">
        <f>ABC_Analysis!G135</f>
        <v>B</v>
      </c>
      <c r="C135" s="14">
        <f>Demand_Stats!C135</f>
        <v>16.43</v>
      </c>
      <c r="D135" s="14">
        <f>Demand_Stats!D135</f>
        <v>17.77</v>
      </c>
      <c r="E135" s="14">
        <f>SKU_Master!F135</f>
        <v>10</v>
      </c>
      <c r="F135" s="14">
        <f t="shared" si="24"/>
        <v>1.65</v>
      </c>
      <c r="G135" s="14">
        <f t="shared" si="25"/>
        <v>92.7</v>
      </c>
      <c r="H135" s="14">
        <f t="shared" si="26"/>
        <v>257</v>
      </c>
      <c r="I135" s="19">
        <v>26</v>
      </c>
      <c r="J135" s="14" t="str">
        <f t="shared" si="27"/>
        <v>REORDER NOW</v>
      </c>
      <c r="K135" s="14">
        <f>SKU_Master!H135</f>
        <v>12</v>
      </c>
      <c r="L135" s="14">
        <f t="shared" si="28"/>
        <v>395.3</v>
      </c>
      <c r="M135" s="14">
        <f t="shared" si="29"/>
        <v>33</v>
      </c>
    </row>
    <row r="136" spans="1:13" x14ac:dyDescent="0.3">
      <c r="A136" s="14" t="str">
        <f>SKU_Master!A136</f>
        <v>MDLZ0135</v>
      </c>
      <c r="B136" s="14" t="str">
        <f>ABC_Analysis!G136</f>
        <v>A</v>
      </c>
      <c r="C136" s="14">
        <f>Demand_Stats!C136</f>
        <v>23.46</v>
      </c>
      <c r="D136" s="14">
        <f>Demand_Stats!D136</f>
        <v>25.65</v>
      </c>
      <c r="E136" s="14">
        <f>SKU_Master!F136</f>
        <v>4</v>
      </c>
      <c r="F136" s="14">
        <f t="shared" si="24"/>
        <v>2.0499999999999998</v>
      </c>
      <c r="G136" s="14">
        <f t="shared" si="25"/>
        <v>105.2</v>
      </c>
      <c r="H136" s="14">
        <f t="shared" si="26"/>
        <v>199</v>
      </c>
      <c r="I136" s="19">
        <v>91</v>
      </c>
      <c r="J136" s="14" t="str">
        <f t="shared" si="27"/>
        <v>REORDER NOW</v>
      </c>
      <c r="K136" s="14">
        <f>SKU_Master!H136</f>
        <v>6</v>
      </c>
      <c r="L136" s="14">
        <f t="shared" si="28"/>
        <v>342.6</v>
      </c>
      <c r="M136" s="14">
        <f t="shared" si="29"/>
        <v>58</v>
      </c>
    </row>
    <row r="137" spans="1:13" x14ac:dyDescent="0.3">
      <c r="A137" s="14" t="str">
        <f>SKU_Master!A137</f>
        <v>MDLZ0136</v>
      </c>
      <c r="B137" s="14" t="str">
        <f>ABC_Analysis!G137</f>
        <v>A</v>
      </c>
      <c r="C137" s="14">
        <f>Demand_Stats!C137</f>
        <v>32.409999999999997</v>
      </c>
      <c r="D137" s="14">
        <f>Demand_Stats!D137</f>
        <v>29.39</v>
      </c>
      <c r="E137" s="14">
        <f>SKU_Master!F137</f>
        <v>7</v>
      </c>
      <c r="F137" s="14">
        <f t="shared" si="24"/>
        <v>2.0499999999999998</v>
      </c>
      <c r="G137" s="14">
        <f t="shared" si="25"/>
        <v>159.4</v>
      </c>
      <c r="H137" s="14">
        <f t="shared" si="26"/>
        <v>386.3</v>
      </c>
      <c r="I137" s="19">
        <v>330</v>
      </c>
      <c r="J137" s="14" t="str">
        <f t="shared" si="27"/>
        <v>REORDER NOW</v>
      </c>
      <c r="K137" s="14">
        <f>SKU_Master!H137</f>
        <v>6</v>
      </c>
      <c r="L137" s="14">
        <f t="shared" si="28"/>
        <v>380.4</v>
      </c>
      <c r="M137" s="14">
        <f t="shared" si="29"/>
        <v>64</v>
      </c>
    </row>
    <row r="138" spans="1:13" x14ac:dyDescent="0.3">
      <c r="A138" s="14" t="str">
        <f>SKU_Master!A138</f>
        <v>MDLZ0137</v>
      </c>
      <c r="B138" s="14" t="str">
        <f>ABC_Analysis!G138</f>
        <v>A</v>
      </c>
      <c r="C138" s="14">
        <f>Demand_Stats!C138</f>
        <v>25.19</v>
      </c>
      <c r="D138" s="14">
        <f>Demand_Stats!D138</f>
        <v>29.61</v>
      </c>
      <c r="E138" s="14">
        <f>SKU_Master!F138</f>
        <v>2</v>
      </c>
      <c r="F138" s="14">
        <f t="shared" si="24"/>
        <v>2.0499999999999998</v>
      </c>
      <c r="G138" s="14">
        <f t="shared" si="25"/>
        <v>85.8</v>
      </c>
      <c r="H138" s="14">
        <f t="shared" si="26"/>
        <v>136.19999999999999</v>
      </c>
      <c r="I138" s="19">
        <v>94</v>
      </c>
      <c r="J138" s="14" t="str">
        <f t="shared" si="27"/>
        <v>REORDER NOW</v>
      </c>
      <c r="K138" s="14">
        <f>SKU_Master!H138</f>
        <v>6</v>
      </c>
      <c r="L138" s="14">
        <f t="shared" si="28"/>
        <v>294.10000000000002</v>
      </c>
      <c r="M138" s="14">
        <f t="shared" si="29"/>
        <v>50</v>
      </c>
    </row>
    <row r="139" spans="1:13" x14ac:dyDescent="0.3">
      <c r="A139" s="14" t="str">
        <f>SKU_Master!A139</f>
        <v>MDLZ0138</v>
      </c>
      <c r="B139" s="14" t="str">
        <f>ABC_Analysis!G139</f>
        <v>B</v>
      </c>
      <c r="C139" s="14">
        <f>Demand_Stats!C139</f>
        <v>13.76</v>
      </c>
      <c r="D139" s="14">
        <f>Demand_Stats!D139</f>
        <v>12.44</v>
      </c>
      <c r="E139" s="14">
        <f>SKU_Master!F139</f>
        <v>3</v>
      </c>
      <c r="F139" s="14">
        <f t="shared" si="24"/>
        <v>1.65</v>
      </c>
      <c r="G139" s="14">
        <f t="shared" si="25"/>
        <v>35.6</v>
      </c>
      <c r="H139" s="14">
        <f t="shared" si="26"/>
        <v>76.900000000000006</v>
      </c>
      <c r="I139" s="19">
        <v>11</v>
      </c>
      <c r="J139" s="14" t="str">
        <f t="shared" si="27"/>
        <v>REORDER NOW</v>
      </c>
      <c r="K139" s="14">
        <f>SKU_Master!H139</f>
        <v>12</v>
      </c>
      <c r="L139" s="14">
        <f t="shared" si="28"/>
        <v>203.5</v>
      </c>
      <c r="M139" s="14">
        <f t="shared" si="29"/>
        <v>17</v>
      </c>
    </row>
    <row r="140" spans="1:13" x14ac:dyDescent="0.3">
      <c r="A140" s="14" t="str">
        <f>SKU_Master!A140</f>
        <v>MDLZ0139</v>
      </c>
      <c r="B140" s="14" t="str">
        <f>ABC_Analysis!G140</f>
        <v>A</v>
      </c>
      <c r="C140" s="14">
        <f>Demand_Stats!C140</f>
        <v>26.81</v>
      </c>
      <c r="D140" s="14">
        <f>Demand_Stats!D140</f>
        <v>26.59</v>
      </c>
      <c r="E140" s="14">
        <f>SKU_Master!F140</f>
        <v>10</v>
      </c>
      <c r="F140" s="14">
        <f t="shared" si="24"/>
        <v>2.0499999999999998</v>
      </c>
      <c r="G140" s="14">
        <f t="shared" si="25"/>
        <v>172.4</v>
      </c>
      <c r="H140" s="14">
        <f t="shared" si="26"/>
        <v>440.5</v>
      </c>
      <c r="I140" s="19">
        <v>111</v>
      </c>
      <c r="J140" s="14" t="str">
        <f t="shared" si="27"/>
        <v>REORDER NOW</v>
      </c>
      <c r="K140" s="14">
        <f>SKU_Master!H140</f>
        <v>12</v>
      </c>
      <c r="L140" s="14">
        <f t="shared" si="28"/>
        <v>597.59999999999991</v>
      </c>
      <c r="M140" s="14">
        <f t="shared" si="29"/>
        <v>50</v>
      </c>
    </row>
    <row r="141" spans="1:13" x14ac:dyDescent="0.3">
      <c r="A141" s="14" t="str">
        <f>SKU_Master!A141</f>
        <v>MDLZ0140</v>
      </c>
      <c r="B141" s="14" t="str">
        <f>ABC_Analysis!G141</f>
        <v>A</v>
      </c>
      <c r="C141" s="14">
        <f>Demand_Stats!C141</f>
        <v>49.24</v>
      </c>
      <c r="D141" s="14">
        <f>Demand_Stats!D141</f>
        <v>51.49</v>
      </c>
      <c r="E141" s="14">
        <f>SKU_Master!F141</f>
        <v>3</v>
      </c>
      <c r="F141" s="14">
        <f t="shared" si="24"/>
        <v>2.0499999999999998</v>
      </c>
      <c r="G141" s="14">
        <f t="shared" si="25"/>
        <v>182.8</v>
      </c>
      <c r="H141" s="14">
        <f t="shared" si="26"/>
        <v>330.5</v>
      </c>
      <c r="I141" s="19">
        <v>165</v>
      </c>
      <c r="J141" s="14" t="str">
        <f t="shared" si="27"/>
        <v>REORDER NOW</v>
      </c>
      <c r="K141" s="14">
        <f>SKU_Master!H141</f>
        <v>12</v>
      </c>
      <c r="L141" s="14">
        <f t="shared" si="28"/>
        <v>657.90000000000009</v>
      </c>
      <c r="M141" s="14">
        <f t="shared" si="29"/>
        <v>55</v>
      </c>
    </row>
    <row r="142" spans="1:13" x14ac:dyDescent="0.3">
      <c r="A142" s="14" t="str">
        <f>SKU_Master!A142</f>
        <v>MDLZ0141</v>
      </c>
      <c r="B142" s="14" t="str">
        <f>ABC_Analysis!G142</f>
        <v>A</v>
      </c>
      <c r="C142" s="14">
        <f>Demand_Stats!C142</f>
        <v>20.260000000000002</v>
      </c>
      <c r="D142" s="14">
        <f>Demand_Stats!D142</f>
        <v>22.05</v>
      </c>
      <c r="E142" s="14">
        <f>SKU_Master!F142</f>
        <v>5</v>
      </c>
      <c r="F142" s="14">
        <f t="shared" si="24"/>
        <v>2.0499999999999998</v>
      </c>
      <c r="G142" s="14">
        <f t="shared" si="25"/>
        <v>101.1</v>
      </c>
      <c r="H142" s="14">
        <f t="shared" si="26"/>
        <v>202.4</v>
      </c>
      <c r="I142" s="19">
        <v>165</v>
      </c>
      <c r="J142" s="14" t="str">
        <f t="shared" si="27"/>
        <v>REORDER NOW</v>
      </c>
      <c r="K142" s="14">
        <f>SKU_Master!H142</f>
        <v>6</v>
      </c>
      <c r="L142" s="14">
        <f t="shared" si="28"/>
        <v>240</v>
      </c>
      <c r="M142" s="14">
        <f t="shared" si="29"/>
        <v>40</v>
      </c>
    </row>
    <row r="143" spans="1:13" x14ac:dyDescent="0.3">
      <c r="A143" s="14" t="str">
        <f>SKU_Master!A143</f>
        <v>MDLZ0142</v>
      </c>
      <c r="B143" s="14" t="str">
        <f>ABC_Analysis!G143</f>
        <v>A</v>
      </c>
      <c r="C143" s="14">
        <f>Demand_Stats!C143</f>
        <v>26.17</v>
      </c>
      <c r="D143" s="14">
        <f>Demand_Stats!D143</f>
        <v>28.53</v>
      </c>
      <c r="E143" s="14">
        <f>SKU_Master!F143</f>
        <v>5</v>
      </c>
      <c r="F143" s="14">
        <f t="shared" si="24"/>
        <v>2.0499999999999998</v>
      </c>
      <c r="G143" s="14">
        <f t="shared" si="25"/>
        <v>130.80000000000001</v>
      </c>
      <c r="H143" s="14">
        <f t="shared" si="26"/>
        <v>261.7</v>
      </c>
      <c r="I143" s="19">
        <v>126</v>
      </c>
      <c r="J143" s="14" t="str">
        <f t="shared" si="27"/>
        <v>REORDER NOW</v>
      </c>
      <c r="K143" s="14">
        <f>SKU_Master!H143</f>
        <v>6</v>
      </c>
      <c r="L143" s="14">
        <f t="shared" si="28"/>
        <v>397.40000000000009</v>
      </c>
      <c r="M143" s="14">
        <f t="shared" si="29"/>
        <v>67</v>
      </c>
    </row>
    <row r="144" spans="1:13" x14ac:dyDescent="0.3">
      <c r="A144" s="14" t="str">
        <f>SKU_Master!A144</f>
        <v>MDLZ0143</v>
      </c>
      <c r="B144" s="14" t="str">
        <f>ABC_Analysis!G144</f>
        <v>B</v>
      </c>
      <c r="C144" s="14">
        <f>Demand_Stats!C144</f>
        <v>14.28</v>
      </c>
      <c r="D144" s="14">
        <f>Demand_Stats!D144</f>
        <v>14.29</v>
      </c>
      <c r="E144" s="14">
        <f>SKU_Master!F144</f>
        <v>4</v>
      </c>
      <c r="F144" s="14">
        <f t="shared" si="24"/>
        <v>1.65</v>
      </c>
      <c r="G144" s="14">
        <f t="shared" si="25"/>
        <v>47.2</v>
      </c>
      <c r="H144" s="14">
        <f t="shared" si="26"/>
        <v>104.3</v>
      </c>
      <c r="I144" s="19">
        <v>44</v>
      </c>
      <c r="J144" s="14" t="str">
        <f t="shared" si="27"/>
        <v>REORDER NOW</v>
      </c>
      <c r="K144" s="14">
        <f>SKU_Master!H144</f>
        <v>12</v>
      </c>
      <c r="L144" s="14">
        <f t="shared" si="28"/>
        <v>203.09999999999997</v>
      </c>
      <c r="M144" s="14">
        <f t="shared" si="29"/>
        <v>17</v>
      </c>
    </row>
    <row r="145" spans="1:13" x14ac:dyDescent="0.3">
      <c r="A145" s="14" t="str">
        <f>SKU_Master!A145</f>
        <v>MDLZ0144</v>
      </c>
      <c r="B145" s="14" t="str">
        <f>ABC_Analysis!G145</f>
        <v>A</v>
      </c>
      <c r="C145" s="14">
        <f>Demand_Stats!C145</f>
        <v>22.11</v>
      </c>
      <c r="D145" s="14">
        <f>Demand_Stats!D145</f>
        <v>23.1</v>
      </c>
      <c r="E145" s="14">
        <f>SKU_Master!F145</f>
        <v>2</v>
      </c>
      <c r="F145" s="14">
        <f t="shared" si="24"/>
        <v>2.0499999999999998</v>
      </c>
      <c r="G145" s="14">
        <f t="shared" si="25"/>
        <v>67</v>
      </c>
      <c r="H145" s="14">
        <f t="shared" si="26"/>
        <v>111.2</v>
      </c>
      <c r="I145" s="19">
        <v>23</v>
      </c>
      <c r="J145" s="14" t="str">
        <f t="shared" si="27"/>
        <v>REORDER NOW</v>
      </c>
      <c r="K145" s="14">
        <f>SKU_Master!H145</f>
        <v>6</v>
      </c>
      <c r="L145" s="14">
        <f t="shared" si="28"/>
        <v>309.3</v>
      </c>
      <c r="M145" s="14">
        <f t="shared" si="29"/>
        <v>52</v>
      </c>
    </row>
    <row r="146" spans="1:13" x14ac:dyDescent="0.3">
      <c r="A146" s="14" t="str">
        <f>SKU_Master!A146</f>
        <v>MDLZ0145</v>
      </c>
      <c r="B146" s="14" t="str">
        <f>ABC_Analysis!G146</f>
        <v>B</v>
      </c>
      <c r="C146" s="14">
        <f>Demand_Stats!C146</f>
        <v>32.520000000000003</v>
      </c>
      <c r="D146" s="14">
        <f>Demand_Stats!D146</f>
        <v>31.01</v>
      </c>
      <c r="E146" s="14">
        <f>SKU_Master!F146</f>
        <v>5</v>
      </c>
      <c r="F146" s="14">
        <f t="shared" si="24"/>
        <v>1.65</v>
      </c>
      <c r="G146" s="14">
        <f t="shared" si="25"/>
        <v>114.4</v>
      </c>
      <c r="H146" s="14">
        <f t="shared" si="26"/>
        <v>277</v>
      </c>
      <c r="I146" s="19">
        <v>413</v>
      </c>
      <c r="J146" s="14" t="str">
        <f t="shared" si="27"/>
        <v>OK</v>
      </c>
      <c r="K146" s="14">
        <f>SKU_Master!H146</f>
        <v>6</v>
      </c>
      <c r="L146" s="14">
        <f t="shared" si="28"/>
        <v>189.20000000000005</v>
      </c>
      <c r="M146" s="14">
        <f t="shared" si="29"/>
        <v>32</v>
      </c>
    </row>
    <row r="147" spans="1:13" x14ac:dyDescent="0.3">
      <c r="A147" s="14" t="str">
        <f>SKU_Master!A147</f>
        <v>MDLZ0146</v>
      </c>
      <c r="B147" s="14" t="str">
        <f>ABC_Analysis!G147</f>
        <v>B</v>
      </c>
      <c r="C147" s="14">
        <f>Demand_Stats!C147</f>
        <v>15.24</v>
      </c>
      <c r="D147" s="14">
        <f>Demand_Stats!D147</f>
        <v>16.09</v>
      </c>
      <c r="E147" s="14">
        <f>SKU_Master!F147</f>
        <v>3</v>
      </c>
      <c r="F147" s="14">
        <f t="shared" si="24"/>
        <v>1.65</v>
      </c>
      <c r="G147" s="14">
        <f t="shared" si="25"/>
        <v>46</v>
      </c>
      <c r="H147" s="14">
        <f t="shared" si="26"/>
        <v>91.7</v>
      </c>
      <c r="I147" s="19">
        <v>1</v>
      </c>
      <c r="J147" s="14" t="str">
        <f t="shared" si="27"/>
        <v>REORDER NOW</v>
      </c>
      <c r="K147" s="14">
        <f>SKU_Master!H147</f>
        <v>6</v>
      </c>
      <c r="L147" s="14">
        <f t="shared" si="28"/>
        <v>243.10000000000002</v>
      </c>
      <c r="M147" s="14">
        <f t="shared" si="29"/>
        <v>41</v>
      </c>
    </row>
    <row r="148" spans="1:13" x14ac:dyDescent="0.3">
      <c r="A148" s="14" t="str">
        <f>SKU_Master!A148</f>
        <v>MDLZ0147</v>
      </c>
      <c r="B148" s="14" t="str">
        <f>ABC_Analysis!G148</f>
        <v>B</v>
      </c>
      <c r="C148" s="14">
        <f>Demand_Stats!C148</f>
        <v>40.880000000000003</v>
      </c>
      <c r="D148" s="14">
        <f>Demand_Stats!D148</f>
        <v>50.75</v>
      </c>
      <c r="E148" s="14">
        <f>SKU_Master!F148</f>
        <v>2</v>
      </c>
      <c r="F148" s="14">
        <f t="shared" si="24"/>
        <v>1.65</v>
      </c>
      <c r="G148" s="14">
        <f t="shared" si="25"/>
        <v>118.4</v>
      </c>
      <c r="H148" s="14">
        <f t="shared" si="26"/>
        <v>200.2</v>
      </c>
      <c r="I148" s="19">
        <v>45</v>
      </c>
      <c r="J148" s="14" t="str">
        <f t="shared" si="27"/>
        <v>REORDER NOW</v>
      </c>
      <c r="K148" s="14">
        <f>SKU_Master!H148</f>
        <v>12</v>
      </c>
      <c r="L148" s="14">
        <f t="shared" si="28"/>
        <v>564</v>
      </c>
      <c r="M148" s="14">
        <f t="shared" si="29"/>
        <v>47</v>
      </c>
    </row>
    <row r="149" spans="1:13" x14ac:dyDescent="0.3">
      <c r="A149" s="14" t="str">
        <f>SKU_Master!A149</f>
        <v>MDLZ0148</v>
      </c>
      <c r="B149" s="14" t="str">
        <f>ABC_Analysis!G149</f>
        <v>B</v>
      </c>
      <c r="C149" s="14">
        <f>Demand_Stats!C149</f>
        <v>12.71</v>
      </c>
      <c r="D149" s="14">
        <f>Demand_Stats!D149</f>
        <v>14.98</v>
      </c>
      <c r="E149" s="14">
        <f>SKU_Master!F149</f>
        <v>3</v>
      </c>
      <c r="F149" s="14">
        <f t="shared" si="24"/>
        <v>1.65</v>
      </c>
      <c r="G149" s="14">
        <f t="shared" si="25"/>
        <v>42.8</v>
      </c>
      <c r="H149" s="14">
        <f t="shared" si="26"/>
        <v>80.900000000000006</v>
      </c>
      <c r="I149" s="19">
        <v>4</v>
      </c>
      <c r="J149" s="14" t="str">
        <f t="shared" si="27"/>
        <v>REORDER NOW</v>
      </c>
      <c r="K149" s="14">
        <f>SKU_Master!H149</f>
        <v>12</v>
      </c>
      <c r="L149" s="14">
        <f t="shared" si="28"/>
        <v>204</v>
      </c>
      <c r="M149" s="14">
        <f t="shared" si="29"/>
        <v>17</v>
      </c>
    </row>
    <row r="150" spans="1:13" x14ac:dyDescent="0.3">
      <c r="A150" s="14" t="str">
        <f>SKU_Master!A150</f>
        <v>MDLZ0149</v>
      </c>
      <c r="B150" s="14" t="str">
        <f>ABC_Analysis!G150</f>
        <v>A</v>
      </c>
      <c r="C150" s="14">
        <f>Demand_Stats!C150</f>
        <v>37.74</v>
      </c>
      <c r="D150" s="14">
        <f>Demand_Stats!D150</f>
        <v>39.119999999999997</v>
      </c>
      <c r="E150" s="14">
        <f>SKU_Master!F150</f>
        <v>7</v>
      </c>
      <c r="F150" s="14">
        <f t="shared" si="24"/>
        <v>2.0499999999999998</v>
      </c>
      <c r="G150" s="14">
        <f t="shared" si="25"/>
        <v>212.2</v>
      </c>
      <c r="H150" s="14">
        <f t="shared" si="26"/>
        <v>476.4</v>
      </c>
      <c r="I150" s="19">
        <v>235</v>
      </c>
      <c r="J150" s="14" t="str">
        <f t="shared" si="27"/>
        <v>REORDER NOW</v>
      </c>
      <c r="K150" s="14">
        <f>SKU_Master!H150</f>
        <v>6</v>
      </c>
      <c r="L150" s="14">
        <f t="shared" si="28"/>
        <v>618.79999999999995</v>
      </c>
      <c r="M150" s="14">
        <f t="shared" si="29"/>
        <v>104</v>
      </c>
    </row>
    <row r="151" spans="1:13" x14ac:dyDescent="0.3">
      <c r="A151" s="14" t="str">
        <f>SKU_Master!A151</f>
        <v>MDLZ0150</v>
      </c>
      <c r="B151" s="14" t="str">
        <f>ABC_Analysis!G151</f>
        <v>A</v>
      </c>
      <c r="C151" s="14">
        <f>Demand_Stats!C151</f>
        <v>35.49</v>
      </c>
      <c r="D151" s="14">
        <f>Demand_Stats!D151</f>
        <v>41.08</v>
      </c>
      <c r="E151" s="14">
        <f>SKU_Master!F151</f>
        <v>5</v>
      </c>
      <c r="F151" s="14">
        <f t="shared" si="24"/>
        <v>2.0499999999999998</v>
      </c>
      <c r="G151" s="14">
        <f t="shared" si="25"/>
        <v>188.3</v>
      </c>
      <c r="H151" s="14">
        <f t="shared" si="26"/>
        <v>365.8</v>
      </c>
      <c r="I151" s="19">
        <v>33</v>
      </c>
      <c r="J151" s="14" t="str">
        <f t="shared" si="27"/>
        <v>REORDER NOW</v>
      </c>
      <c r="K151" s="14">
        <f>SKU_Master!H151</f>
        <v>12</v>
      </c>
      <c r="L151" s="14">
        <f t="shared" si="28"/>
        <v>687.7</v>
      </c>
      <c r="M151" s="14">
        <f t="shared" si="29"/>
        <v>58</v>
      </c>
    </row>
  </sheetData>
  <autoFilter ref="A1:M15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D7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55" customWidth="1"/>
    <col min="3" max="3" width="3" customWidth="1"/>
    <col min="4" max="4" width="16" customWidth="1"/>
  </cols>
  <sheetData>
    <row r="2" spans="2:4" ht="17.399999999999999" x14ac:dyDescent="0.3">
      <c r="B2" s="10" t="s">
        <v>415</v>
      </c>
    </row>
    <row r="3" spans="2:4" ht="45" customHeight="1" x14ac:dyDescent="0.3">
      <c r="B3" s="11" t="s">
        <v>416</v>
      </c>
    </row>
    <row r="5" spans="2:4" x14ac:dyDescent="0.3">
      <c r="B5" s="14" t="s">
        <v>417</v>
      </c>
      <c r="D5" s="23">
        <v>0.74590000000000001</v>
      </c>
    </row>
    <row r="6" spans="2:4" x14ac:dyDescent="0.3">
      <c r="B6" s="14" t="s">
        <v>418</v>
      </c>
      <c r="D6" s="23">
        <v>0.98740000000000006</v>
      </c>
    </row>
    <row r="7" spans="2:4" x14ac:dyDescent="0.3">
      <c r="B7" s="16" t="s">
        <v>419</v>
      </c>
      <c r="D7" s="24">
        <f>D6-D5</f>
        <v>0.24150000000000005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E46"/>
  <sheetViews>
    <sheetView showGridLines="0" topLeftCell="A41" zoomScaleNormal="100" workbookViewId="0"/>
  </sheetViews>
  <sheetFormatPr defaultColWidth="8.6640625" defaultRowHeight="14.4" x14ac:dyDescent="0.3"/>
  <cols>
    <col min="1" max="1" width="3" customWidth="1"/>
    <col min="2" max="2" width="26" customWidth="1"/>
    <col min="3" max="3" width="24" customWidth="1"/>
    <col min="4" max="4" width="16" customWidth="1"/>
    <col min="5" max="5" width="22" customWidth="1"/>
  </cols>
  <sheetData>
    <row r="2" spans="2:5" ht="17.399999999999999" x14ac:dyDescent="0.3">
      <c r="B2" s="10" t="s">
        <v>420</v>
      </c>
    </row>
    <row r="4" spans="2:5" x14ac:dyDescent="0.3">
      <c r="B4" s="18" t="s">
        <v>421</v>
      </c>
      <c r="C4" s="18" t="s">
        <v>422</v>
      </c>
    </row>
    <row r="5" spans="2:5" x14ac:dyDescent="0.3">
      <c r="B5" s="19" t="s">
        <v>423</v>
      </c>
      <c r="C5" s="25">
        <v>28.31</v>
      </c>
    </row>
    <row r="6" spans="2:5" x14ac:dyDescent="0.3">
      <c r="B6" s="19" t="s">
        <v>424</v>
      </c>
      <c r="C6" s="25">
        <v>25.76</v>
      </c>
    </row>
    <row r="7" spans="2:5" x14ac:dyDescent="0.3">
      <c r="B7" s="19" t="s">
        <v>36</v>
      </c>
      <c r="C7" s="25">
        <v>20.94</v>
      </c>
    </row>
    <row r="8" spans="2:5" x14ac:dyDescent="0.3">
      <c r="B8" s="19" t="s">
        <v>425</v>
      </c>
      <c r="C8" s="25">
        <v>21.13</v>
      </c>
    </row>
    <row r="10" spans="2:5" x14ac:dyDescent="0.3">
      <c r="B10" s="14" t="s">
        <v>426</v>
      </c>
    </row>
    <row r="11" spans="2:5" ht="27.75" customHeight="1" x14ac:dyDescent="0.3">
      <c r="B11" s="2" t="s">
        <v>427</v>
      </c>
      <c r="C11" s="2"/>
      <c r="D11" s="2"/>
      <c r="E11" s="2"/>
    </row>
    <row r="30" spans="2:5" x14ac:dyDescent="0.3">
      <c r="B30" s="16" t="s">
        <v>428</v>
      </c>
    </row>
    <row r="31" spans="2:5" ht="26.4" x14ac:dyDescent="0.3">
      <c r="B31" s="18" t="s">
        <v>44</v>
      </c>
      <c r="C31" s="18" t="s">
        <v>46</v>
      </c>
      <c r="D31" s="18" t="s">
        <v>429</v>
      </c>
      <c r="E31" s="18" t="s">
        <v>430</v>
      </c>
    </row>
    <row r="32" spans="2:5" x14ac:dyDescent="0.3">
      <c r="B32" s="19" t="s">
        <v>90</v>
      </c>
      <c r="C32" s="19" t="s">
        <v>57</v>
      </c>
      <c r="D32" s="19" t="s">
        <v>431</v>
      </c>
      <c r="E32" s="19">
        <v>2315.4</v>
      </c>
    </row>
    <row r="33" spans="2:5" x14ac:dyDescent="0.3">
      <c r="B33" s="19" t="s">
        <v>324</v>
      </c>
      <c r="C33" s="19" t="s">
        <v>266</v>
      </c>
      <c r="D33" s="19" t="s">
        <v>431</v>
      </c>
      <c r="E33" s="19">
        <v>1682.7</v>
      </c>
    </row>
    <row r="34" spans="2:5" x14ac:dyDescent="0.3">
      <c r="B34" s="19" t="s">
        <v>267</v>
      </c>
      <c r="C34" s="19" t="s">
        <v>266</v>
      </c>
      <c r="D34" s="19" t="s">
        <v>431</v>
      </c>
      <c r="E34" s="19">
        <v>1254.2</v>
      </c>
    </row>
    <row r="35" spans="2:5" x14ac:dyDescent="0.3">
      <c r="B35" s="19" t="s">
        <v>67</v>
      </c>
      <c r="C35" s="19" t="s">
        <v>57</v>
      </c>
      <c r="D35" s="19" t="s">
        <v>431</v>
      </c>
      <c r="E35" s="19">
        <v>1203.5</v>
      </c>
    </row>
    <row r="36" spans="2:5" x14ac:dyDescent="0.3">
      <c r="B36" s="19" t="s">
        <v>283</v>
      </c>
      <c r="C36" s="19" t="s">
        <v>266</v>
      </c>
      <c r="D36" s="19" t="s">
        <v>431</v>
      </c>
      <c r="E36" s="19">
        <v>1047.5999999999999</v>
      </c>
    </row>
    <row r="37" spans="2:5" x14ac:dyDescent="0.3">
      <c r="B37" s="19" t="s">
        <v>287</v>
      </c>
      <c r="C37" s="19" t="s">
        <v>266</v>
      </c>
      <c r="D37" s="19" t="s">
        <v>431</v>
      </c>
      <c r="E37" s="19">
        <v>1031.8</v>
      </c>
    </row>
    <row r="38" spans="2:5" x14ac:dyDescent="0.3">
      <c r="B38" s="19" t="s">
        <v>85</v>
      </c>
      <c r="C38" s="19" t="s">
        <v>57</v>
      </c>
      <c r="D38" s="19" t="s">
        <v>431</v>
      </c>
      <c r="E38" s="19">
        <v>1031.2</v>
      </c>
    </row>
    <row r="39" spans="2:5" x14ac:dyDescent="0.3">
      <c r="B39" s="19" t="s">
        <v>69</v>
      </c>
      <c r="C39" s="19" t="s">
        <v>57</v>
      </c>
      <c r="D39" s="19" t="s">
        <v>431</v>
      </c>
      <c r="E39" s="19">
        <v>1023.7</v>
      </c>
    </row>
    <row r="40" spans="2:5" x14ac:dyDescent="0.3">
      <c r="B40" s="19" t="s">
        <v>55</v>
      </c>
      <c r="C40" s="19" t="s">
        <v>57</v>
      </c>
      <c r="D40" s="19" t="s">
        <v>431</v>
      </c>
      <c r="E40" s="19">
        <v>1009.4</v>
      </c>
    </row>
    <row r="41" spans="2:5" x14ac:dyDescent="0.3">
      <c r="B41" s="19" t="s">
        <v>115</v>
      </c>
      <c r="C41" s="19" t="s">
        <v>57</v>
      </c>
      <c r="D41" s="19" t="s">
        <v>431</v>
      </c>
      <c r="E41" s="19">
        <v>997.2</v>
      </c>
    </row>
    <row r="42" spans="2:5" x14ac:dyDescent="0.3">
      <c r="B42" s="19" t="s">
        <v>279</v>
      </c>
      <c r="C42" s="19" t="s">
        <v>266</v>
      </c>
      <c r="D42" s="19" t="s">
        <v>431</v>
      </c>
      <c r="E42" s="19">
        <v>988.4</v>
      </c>
    </row>
    <row r="43" spans="2:5" x14ac:dyDescent="0.3">
      <c r="B43" s="19" t="s">
        <v>264</v>
      </c>
      <c r="C43" s="19" t="s">
        <v>266</v>
      </c>
      <c r="D43" s="19" t="s">
        <v>431</v>
      </c>
      <c r="E43" s="19">
        <v>965.3</v>
      </c>
    </row>
    <row r="44" spans="2:5" x14ac:dyDescent="0.3">
      <c r="B44" s="19" t="s">
        <v>295</v>
      </c>
      <c r="C44" s="19" t="s">
        <v>266</v>
      </c>
      <c r="D44" s="19" t="s">
        <v>431</v>
      </c>
      <c r="E44" s="19">
        <v>955.1</v>
      </c>
    </row>
    <row r="45" spans="2:5" x14ac:dyDescent="0.3">
      <c r="B45" s="19" t="s">
        <v>320</v>
      </c>
      <c r="C45" s="19" t="s">
        <v>266</v>
      </c>
      <c r="D45" s="19" t="s">
        <v>431</v>
      </c>
      <c r="E45" s="19">
        <v>932.6</v>
      </c>
    </row>
    <row r="46" spans="2:5" x14ac:dyDescent="0.3">
      <c r="B46" s="19" t="s">
        <v>316</v>
      </c>
      <c r="C46" s="19" t="s">
        <v>266</v>
      </c>
      <c r="D46" s="19" t="s">
        <v>431</v>
      </c>
      <c r="E46" s="19">
        <v>886.5</v>
      </c>
    </row>
  </sheetData>
  <mergeCells count="1">
    <mergeCell ref="B11:E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28"/>
  <sheetViews>
    <sheetView zoomScaleNormal="100" workbookViewId="0">
      <pane ySplit="3" topLeftCell="A73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26" customWidth="1"/>
    <col min="3" max="3" width="20" customWidth="1"/>
    <col min="4" max="5" width="10" customWidth="1"/>
    <col min="6" max="7" width="13" customWidth="1"/>
    <col min="8" max="8" width="20" customWidth="1"/>
    <col min="9" max="9" width="11" customWidth="1"/>
    <col min="10" max="10" width="19" customWidth="1"/>
    <col min="11" max="11" width="17" customWidth="1"/>
    <col min="12" max="12" width="19" customWidth="1"/>
  </cols>
  <sheetData>
    <row r="1" spans="1:12" ht="17.399999999999999" x14ac:dyDescent="0.3">
      <c r="B1" s="10" t="s">
        <v>432</v>
      </c>
    </row>
    <row r="3" spans="1:12" ht="26.4" x14ac:dyDescent="0.3">
      <c r="A3" s="18" t="s">
        <v>44</v>
      </c>
      <c r="B3" s="18" t="s">
        <v>45</v>
      </c>
      <c r="C3" s="18" t="s">
        <v>46</v>
      </c>
      <c r="D3" s="18" t="s">
        <v>397</v>
      </c>
      <c r="E3" s="18" t="s">
        <v>433</v>
      </c>
      <c r="F3" s="18" t="s">
        <v>434</v>
      </c>
      <c r="G3" s="18" t="s">
        <v>49</v>
      </c>
      <c r="H3" s="18" t="s">
        <v>435</v>
      </c>
      <c r="I3" s="18" t="s">
        <v>436</v>
      </c>
      <c r="J3" s="18" t="s">
        <v>412</v>
      </c>
      <c r="K3" s="18" t="s">
        <v>51</v>
      </c>
      <c r="L3" s="18" t="s">
        <v>413</v>
      </c>
    </row>
    <row r="4" spans="1:12" x14ac:dyDescent="0.3">
      <c r="A4" s="19" t="s">
        <v>73</v>
      </c>
      <c r="B4" s="19" t="s">
        <v>74</v>
      </c>
      <c r="C4" s="19" t="s">
        <v>57</v>
      </c>
      <c r="D4" s="19" t="s">
        <v>404</v>
      </c>
      <c r="E4" s="19">
        <v>2</v>
      </c>
      <c r="F4" s="19">
        <v>0</v>
      </c>
      <c r="G4" s="19">
        <v>2</v>
      </c>
      <c r="H4" s="19">
        <v>697.9</v>
      </c>
      <c r="I4" s="26" t="s">
        <v>41</v>
      </c>
      <c r="J4" s="19">
        <v>1588</v>
      </c>
      <c r="K4" s="14">
        <f>INDEX(SKU_Master!$H:$H,MATCH(A4,SKU_Master!$A:$A,0))</f>
        <v>30</v>
      </c>
      <c r="L4" s="14">
        <f t="shared" ref="L4:L35" si="0">IF(K4=0,0,ROUNDUP(J4/K4,0))</f>
        <v>53</v>
      </c>
    </row>
    <row r="5" spans="1:12" x14ac:dyDescent="0.3">
      <c r="A5" s="19" t="s">
        <v>189</v>
      </c>
      <c r="B5" s="19" t="s">
        <v>190</v>
      </c>
      <c r="C5" s="19" t="s">
        <v>137</v>
      </c>
      <c r="D5" s="19" t="s">
        <v>404</v>
      </c>
      <c r="E5" s="19">
        <v>2</v>
      </c>
      <c r="F5" s="19">
        <v>0</v>
      </c>
      <c r="G5" s="19">
        <v>7</v>
      </c>
      <c r="H5" s="19">
        <v>353.8</v>
      </c>
      <c r="I5" s="26" t="s">
        <v>41</v>
      </c>
      <c r="J5" s="19">
        <v>1224</v>
      </c>
      <c r="K5" s="14">
        <f>INDEX(SKU_Master!$H:$H,MATCH(A5,SKU_Master!$A:$A,0))</f>
        <v>30</v>
      </c>
      <c r="L5" s="14">
        <f t="shared" si="0"/>
        <v>41</v>
      </c>
    </row>
    <row r="6" spans="1:12" x14ac:dyDescent="0.3">
      <c r="A6" s="19" t="s">
        <v>379</v>
      </c>
      <c r="B6" s="19" t="s">
        <v>380</v>
      </c>
      <c r="C6" s="19" t="s">
        <v>329</v>
      </c>
      <c r="D6" s="19" t="s">
        <v>404</v>
      </c>
      <c r="E6" s="19">
        <v>1</v>
      </c>
      <c r="F6" s="19">
        <v>0.1</v>
      </c>
      <c r="G6" s="19">
        <v>3</v>
      </c>
      <c r="H6" s="19">
        <v>48.5</v>
      </c>
      <c r="I6" s="26" t="s">
        <v>41</v>
      </c>
      <c r="J6" s="19">
        <v>243</v>
      </c>
      <c r="K6" s="14">
        <f>INDEX(SKU_Master!$H:$H,MATCH(A6,SKU_Master!$A:$A,0))</f>
        <v>6</v>
      </c>
      <c r="L6" s="14">
        <f t="shared" si="0"/>
        <v>41</v>
      </c>
    </row>
    <row r="7" spans="1:12" x14ac:dyDescent="0.3">
      <c r="A7" s="19" t="s">
        <v>337</v>
      </c>
      <c r="B7" s="19" t="s">
        <v>338</v>
      </c>
      <c r="C7" s="19" t="s">
        <v>329</v>
      </c>
      <c r="D7" s="19" t="s">
        <v>404</v>
      </c>
      <c r="E7" s="19">
        <v>3</v>
      </c>
      <c r="F7" s="19">
        <v>0.2</v>
      </c>
      <c r="G7" s="19">
        <v>5</v>
      </c>
      <c r="H7" s="19">
        <v>49.5</v>
      </c>
      <c r="I7" s="26" t="s">
        <v>41</v>
      </c>
      <c r="J7" s="19">
        <v>283</v>
      </c>
      <c r="K7" s="14">
        <f>INDEX(SKU_Master!$H:$H,MATCH(A7,SKU_Master!$A:$A,0))</f>
        <v>12</v>
      </c>
      <c r="L7" s="14">
        <f t="shared" si="0"/>
        <v>24</v>
      </c>
    </row>
    <row r="8" spans="1:12" x14ac:dyDescent="0.3">
      <c r="A8" s="19" t="s">
        <v>246</v>
      </c>
      <c r="B8" s="19" t="s">
        <v>247</v>
      </c>
      <c r="C8" s="19" t="s">
        <v>202</v>
      </c>
      <c r="D8" s="19" t="s">
        <v>404</v>
      </c>
      <c r="E8" s="19">
        <v>5</v>
      </c>
      <c r="F8" s="19">
        <v>0.3</v>
      </c>
      <c r="G8" s="19">
        <v>4</v>
      </c>
      <c r="H8" s="19">
        <v>114.9</v>
      </c>
      <c r="I8" s="26" t="s">
        <v>41</v>
      </c>
      <c r="J8" s="19">
        <v>264</v>
      </c>
      <c r="K8" s="14">
        <f>INDEX(SKU_Master!$H:$H,MATCH(A8,SKU_Master!$A:$A,0))</f>
        <v>18</v>
      </c>
      <c r="L8" s="14">
        <f t="shared" si="0"/>
        <v>15</v>
      </c>
    </row>
    <row r="9" spans="1:12" x14ac:dyDescent="0.3">
      <c r="A9" s="19" t="s">
        <v>281</v>
      </c>
      <c r="B9" s="19" t="s">
        <v>282</v>
      </c>
      <c r="C9" s="19" t="s">
        <v>266</v>
      </c>
      <c r="D9" s="19" t="s">
        <v>404</v>
      </c>
      <c r="E9" s="19">
        <v>29</v>
      </c>
      <c r="F9" s="19">
        <v>0.3</v>
      </c>
      <c r="G9" s="19">
        <v>4</v>
      </c>
      <c r="H9" s="19">
        <v>693.5</v>
      </c>
      <c r="I9" s="26" t="s">
        <v>41</v>
      </c>
      <c r="J9" s="19">
        <v>1656</v>
      </c>
      <c r="K9" s="14">
        <f>INDEX(SKU_Master!$H:$H,MATCH(A9,SKU_Master!$A:$A,0))</f>
        <v>24</v>
      </c>
      <c r="L9" s="14">
        <f t="shared" si="0"/>
        <v>69</v>
      </c>
    </row>
    <row r="10" spans="1:12" x14ac:dyDescent="0.3">
      <c r="A10" s="19" t="s">
        <v>383</v>
      </c>
      <c r="B10" s="19" t="s">
        <v>384</v>
      </c>
      <c r="C10" s="19" t="s">
        <v>329</v>
      </c>
      <c r="D10" s="19" t="s">
        <v>404</v>
      </c>
      <c r="E10" s="19">
        <v>4</v>
      </c>
      <c r="F10" s="19">
        <v>0.3</v>
      </c>
      <c r="G10" s="19">
        <v>3</v>
      </c>
      <c r="H10" s="19">
        <v>43.3</v>
      </c>
      <c r="I10" s="26" t="s">
        <v>41</v>
      </c>
      <c r="J10" s="19">
        <v>204</v>
      </c>
      <c r="K10" s="14">
        <f>INDEX(SKU_Master!$H:$H,MATCH(A10,SKU_Master!$A:$A,0))</f>
        <v>12</v>
      </c>
      <c r="L10" s="14">
        <f t="shared" si="0"/>
        <v>17</v>
      </c>
    </row>
    <row r="11" spans="1:12" x14ac:dyDescent="0.3">
      <c r="A11" s="19" t="s">
        <v>120</v>
      </c>
      <c r="B11" s="19" t="s">
        <v>121</v>
      </c>
      <c r="C11" s="19" t="s">
        <v>57</v>
      </c>
      <c r="D11" s="19" t="s">
        <v>404</v>
      </c>
      <c r="E11" s="19">
        <v>17</v>
      </c>
      <c r="F11" s="19">
        <v>0.4</v>
      </c>
      <c r="G11" s="19">
        <v>5</v>
      </c>
      <c r="H11" s="19">
        <v>360.7</v>
      </c>
      <c r="I11" s="26" t="s">
        <v>41</v>
      </c>
      <c r="J11" s="19">
        <v>766</v>
      </c>
      <c r="K11" s="14">
        <f>INDEX(SKU_Master!$H:$H,MATCH(A11,SKU_Master!$A:$A,0))</f>
        <v>36</v>
      </c>
      <c r="L11" s="14">
        <f t="shared" si="0"/>
        <v>22</v>
      </c>
    </row>
    <row r="12" spans="1:12" x14ac:dyDescent="0.3">
      <c r="A12" s="19" t="s">
        <v>226</v>
      </c>
      <c r="B12" s="19" t="s">
        <v>227</v>
      </c>
      <c r="C12" s="19" t="s">
        <v>202</v>
      </c>
      <c r="D12" s="19" t="s">
        <v>404</v>
      </c>
      <c r="E12" s="19">
        <v>5</v>
      </c>
      <c r="F12" s="19">
        <v>0.4</v>
      </c>
      <c r="G12" s="19">
        <v>10</v>
      </c>
      <c r="H12" s="19">
        <v>76.400000000000006</v>
      </c>
      <c r="I12" s="26" t="s">
        <v>41</v>
      </c>
      <c r="J12" s="19">
        <v>264</v>
      </c>
      <c r="K12" s="14">
        <f>INDEX(SKU_Master!$H:$H,MATCH(A12,SKU_Master!$A:$A,0))</f>
        <v>24</v>
      </c>
      <c r="L12" s="14">
        <f t="shared" si="0"/>
        <v>11</v>
      </c>
    </row>
    <row r="13" spans="1:12" x14ac:dyDescent="0.3">
      <c r="A13" s="19" t="s">
        <v>302</v>
      </c>
      <c r="B13" s="19" t="s">
        <v>303</v>
      </c>
      <c r="C13" s="19" t="s">
        <v>266</v>
      </c>
      <c r="D13" s="19" t="s">
        <v>404</v>
      </c>
      <c r="E13" s="19">
        <v>47</v>
      </c>
      <c r="F13" s="19">
        <v>0.4</v>
      </c>
      <c r="G13" s="19">
        <v>5</v>
      </c>
      <c r="H13" s="19">
        <v>773.3</v>
      </c>
      <c r="I13" s="26" t="s">
        <v>41</v>
      </c>
      <c r="J13" s="19">
        <v>1754</v>
      </c>
      <c r="K13" s="14">
        <f>INDEX(SKU_Master!$H:$H,MATCH(A13,SKU_Master!$A:$A,0))</f>
        <v>36</v>
      </c>
      <c r="L13" s="14">
        <f t="shared" si="0"/>
        <v>49</v>
      </c>
    </row>
    <row r="14" spans="1:12" x14ac:dyDescent="0.3">
      <c r="A14" s="19" t="s">
        <v>324</v>
      </c>
      <c r="B14" s="19" t="s">
        <v>325</v>
      </c>
      <c r="C14" s="19" t="s">
        <v>266</v>
      </c>
      <c r="D14" s="19" t="s">
        <v>403</v>
      </c>
      <c r="E14" s="19">
        <v>98</v>
      </c>
      <c r="F14" s="19">
        <v>0.4</v>
      </c>
      <c r="G14" s="19">
        <v>5</v>
      </c>
      <c r="H14" s="19">
        <v>1682.7</v>
      </c>
      <c r="I14" s="26" t="s">
        <v>41</v>
      </c>
      <c r="J14" s="19">
        <v>3848</v>
      </c>
      <c r="K14" s="14">
        <f>INDEX(SKU_Master!$H:$H,MATCH(A14,SKU_Master!$A:$A,0))</f>
        <v>60</v>
      </c>
      <c r="L14" s="14">
        <f t="shared" si="0"/>
        <v>65</v>
      </c>
    </row>
    <row r="15" spans="1:12" x14ac:dyDescent="0.3">
      <c r="A15" s="19" t="s">
        <v>130</v>
      </c>
      <c r="B15" s="19" t="s">
        <v>131</v>
      </c>
      <c r="C15" s="19" t="s">
        <v>57</v>
      </c>
      <c r="D15" s="19" t="s">
        <v>404</v>
      </c>
      <c r="E15" s="19">
        <v>48</v>
      </c>
      <c r="F15" s="19">
        <v>0.5</v>
      </c>
      <c r="G15" s="19">
        <v>3</v>
      </c>
      <c r="H15" s="19">
        <v>690.3</v>
      </c>
      <c r="I15" s="26" t="s">
        <v>41</v>
      </c>
      <c r="J15" s="19">
        <v>1341</v>
      </c>
      <c r="K15" s="14">
        <f>INDEX(SKU_Master!$H:$H,MATCH(A15,SKU_Master!$A:$A,0))</f>
        <v>48</v>
      </c>
      <c r="L15" s="14">
        <f t="shared" si="0"/>
        <v>28</v>
      </c>
    </row>
    <row r="16" spans="1:12" x14ac:dyDescent="0.3">
      <c r="A16" s="19" t="s">
        <v>191</v>
      </c>
      <c r="B16" s="19" t="s">
        <v>192</v>
      </c>
      <c r="C16" s="19" t="s">
        <v>137</v>
      </c>
      <c r="D16" s="19" t="s">
        <v>404</v>
      </c>
      <c r="E16" s="19">
        <v>22</v>
      </c>
      <c r="F16" s="19">
        <v>0.5</v>
      </c>
      <c r="G16" s="19">
        <v>2</v>
      </c>
      <c r="H16" s="19">
        <v>253.1</v>
      </c>
      <c r="I16" s="26" t="s">
        <v>41</v>
      </c>
      <c r="J16" s="19">
        <v>536</v>
      </c>
      <c r="K16" s="14">
        <f>INDEX(SKU_Master!$H:$H,MATCH(A16,SKU_Master!$A:$A,0))</f>
        <v>24</v>
      </c>
      <c r="L16" s="14">
        <f t="shared" si="0"/>
        <v>23</v>
      </c>
    </row>
    <row r="17" spans="1:12" x14ac:dyDescent="0.3">
      <c r="A17" s="19" t="s">
        <v>262</v>
      </c>
      <c r="B17" s="19" t="s">
        <v>263</v>
      </c>
      <c r="C17" s="19" t="s">
        <v>202</v>
      </c>
      <c r="D17" s="19" t="s">
        <v>404</v>
      </c>
      <c r="E17" s="19">
        <v>7</v>
      </c>
      <c r="F17" s="19">
        <v>0.5</v>
      </c>
      <c r="G17" s="19">
        <v>2</v>
      </c>
      <c r="H17" s="19">
        <v>83</v>
      </c>
      <c r="I17" s="26" t="s">
        <v>41</v>
      </c>
      <c r="J17" s="19">
        <v>191</v>
      </c>
      <c r="K17" s="14">
        <f>INDEX(SKU_Master!$H:$H,MATCH(A17,SKU_Master!$A:$A,0))</f>
        <v>12</v>
      </c>
      <c r="L17" s="14">
        <f t="shared" si="0"/>
        <v>16</v>
      </c>
    </row>
    <row r="18" spans="1:12" x14ac:dyDescent="0.3">
      <c r="A18" s="19" t="s">
        <v>287</v>
      </c>
      <c r="B18" s="19" t="s">
        <v>288</v>
      </c>
      <c r="C18" s="19" t="s">
        <v>266</v>
      </c>
      <c r="D18" s="19" t="s">
        <v>403</v>
      </c>
      <c r="E18" s="19">
        <v>72</v>
      </c>
      <c r="F18" s="19">
        <v>0.5</v>
      </c>
      <c r="G18" s="19">
        <v>2</v>
      </c>
      <c r="H18" s="19">
        <v>1031.8</v>
      </c>
      <c r="I18" s="26" t="s">
        <v>41</v>
      </c>
      <c r="J18" s="19">
        <v>1936</v>
      </c>
      <c r="K18" s="14">
        <f>INDEX(SKU_Master!$H:$H,MATCH(A18,SKU_Master!$A:$A,0))</f>
        <v>60</v>
      </c>
      <c r="L18" s="14">
        <f t="shared" si="0"/>
        <v>33</v>
      </c>
    </row>
    <row r="19" spans="1:12" x14ac:dyDescent="0.3">
      <c r="A19" s="19" t="s">
        <v>107</v>
      </c>
      <c r="B19" s="19" t="s">
        <v>108</v>
      </c>
      <c r="C19" s="19" t="s">
        <v>57</v>
      </c>
      <c r="D19" s="19" t="s">
        <v>405</v>
      </c>
      <c r="E19" s="19">
        <v>58</v>
      </c>
      <c r="F19" s="19">
        <v>0.6</v>
      </c>
      <c r="G19" s="19">
        <v>5</v>
      </c>
      <c r="H19" s="19">
        <v>558.20000000000005</v>
      </c>
      <c r="I19" s="26" t="s">
        <v>41</v>
      </c>
      <c r="J19" s="19">
        <v>1427</v>
      </c>
      <c r="K19" s="14">
        <f>INDEX(SKU_Master!$H:$H,MATCH(A19,SKU_Master!$A:$A,0))</f>
        <v>24</v>
      </c>
      <c r="L19" s="14">
        <f t="shared" si="0"/>
        <v>60</v>
      </c>
    </row>
    <row r="20" spans="1:12" x14ac:dyDescent="0.3">
      <c r="A20" s="19" t="s">
        <v>293</v>
      </c>
      <c r="B20" s="19" t="s">
        <v>294</v>
      </c>
      <c r="C20" s="19" t="s">
        <v>266</v>
      </c>
      <c r="D20" s="19" t="s">
        <v>405</v>
      </c>
      <c r="E20" s="19">
        <v>21</v>
      </c>
      <c r="F20" s="19">
        <v>0.6</v>
      </c>
      <c r="G20" s="19">
        <v>3</v>
      </c>
      <c r="H20" s="19">
        <v>263.10000000000002</v>
      </c>
      <c r="I20" s="26" t="s">
        <v>41</v>
      </c>
      <c r="J20" s="19">
        <v>461</v>
      </c>
      <c r="K20" s="14">
        <f>INDEX(SKU_Master!$H:$H,MATCH(A20,SKU_Master!$A:$A,0))</f>
        <v>54</v>
      </c>
      <c r="L20" s="14">
        <f t="shared" si="0"/>
        <v>9</v>
      </c>
    </row>
    <row r="21" spans="1:12" x14ac:dyDescent="0.3">
      <c r="A21" s="19" t="s">
        <v>76</v>
      </c>
      <c r="B21" s="19" t="s">
        <v>77</v>
      </c>
      <c r="C21" s="19" t="s">
        <v>57</v>
      </c>
      <c r="D21" s="19" t="s">
        <v>404</v>
      </c>
      <c r="E21" s="19">
        <v>55</v>
      </c>
      <c r="F21" s="19">
        <v>0.7</v>
      </c>
      <c r="G21" s="19">
        <v>3</v>
      </c>
      <c r="H21" s="19">
        <v>535.20000000000005</v>
      </c>
      <c r="I21" s="26" t="s">
        <v>41</v>
      </c>
      <c r="J21" s="19">
        <v>1082</v>
      </c>
      <c r="K21" s="14">
        <f>INDEX(SKU_Master!$H:$H,MATCH(A21,SKU_Master!$A:$A,0))</f>
        <v>24</v>
      </c>
      <c r="L21" s="14">
        <f t="shared" si="0"/>
        <v>46</v>
      </c>
    </row>
    <row r="22" spans="1:12" x14ac:dyDescent="0.3">
      <c r="A22" s="19" t="s">
        <v>78</v>
      </c>
      <c r="B22" s="19" t="s">
        <v>79</v>
      </c>
      <c r="C22" s="19" t="s">
        <v>57</v>
      </c>
      <c r="D22" s="19" t="s">
        <v>403</v>
      </c>
      <c r="E22" s="19">
        <v>91</v>
      </c>
      <c r="F22" s="19">
        <v>0.7</v>
      </c>
      <c r="G22" s="19">
        <v>4</v>
      </c>
      <c r="H22" s="19">
        <v>848.2</v>
      </c>
      <c r="I22" s="26" t="s">
        <v>41</v>
      </c>
      <c r="J22" s="19">
        <v>1887</v>
      </c>
      <c r="K22" s="14">
        <f>INDEX(SKU_Master!$H:$H,MATCH(A22,SKU_Master!$A:$A,0))</f>
        <v>42</v>
      </c>
      <c r="L22" s="14">
        <f t="shared" si="0"/>
        <v>45</v>
      </c>
    </row>
    <row r="23" spans="1:12" x14ac:dyDescent="0.3">
      <c r="A23" s="19" t="s">
        <v>167</v>
      </c>
      <c r="B23" s="19" t="s">
        <v>168</v>
      </c>
      <c r="C23" s="19" t="s">
        <v>137</v>
      </c>
      <c r="D23" s="19" t="s">
        <v>403</v>
      </c>
      <c r="E23" s="19">
        <v>33</v>
      </c>
      <c r="F23" s="19">
        <v>0.7</v>
      </c>
      <c r="G23" s="19">
        <v>4</v>
      </c>
      <c r="H23" s="19">
        <v>310</v>
      </c>
      <c r="I23" s="26" t="s">
        <v>41</v>
      </c>
      <c r="J23" s="19">
        <v>761</v>
      </c>
      <c r="K23" s="14">
        <f>INDEX(SKU_Master!$H:$H,MATCH(A23,SKU_Master!$A:$A,0))</f>
        <v>48</v>
      </c>
      <c r="L23" s="14">
        <f t="shared" si="0"/>
        <v>16</v>
      </c>
    </row>
    <row r="24" spans="1:12" x14ac:dyDescent="0.3">
      <c r="A24" s="19" t="s">
        <v>363</v>
      </c>
      <c r="B24" s="19" t="s">
        <v>364</v>
      </c>
      <c r="C24" s="19" t="s">
        <v>329</v>
      </c>
      <c r="D24" s="19" t="s">
        <v>404</v>
      </c>
      <c r="E24" s="19">
        <v>11</v>
      </c>
      <c r="F24" s="19">
        <v>0.8</v>
      </c>
      <c r="G24" s="19">
        <v>3</v>
      </c>
      <c r="H24" s="19">
        <v>54.4</v>
      </c>
      <c r="I24" s="26" t="s">
        <v>41</v>
      </c>
      <c r="J24" s="19">
        <v>203</v>
      </c>
      <c r="K24" s="14">
        <f>INDEX(SKU_Master!$H:$H,MATCH(A24,SKU_Master!$A:$A,0))</f>
        <v>12</v>
      </c>
      <c r="L24" s="14">
        <f t="shared" si="0"/>
        <v>17</v>
      </c>
    </row>
    <row r="25" spans="1:12" x14ac:dyDescent="0.3">
      <c r="A25" s="19" t="s">
        <v>283</v>
      </c>
      <c r="B25" s="19" t="s">
        <v>284</v>
      </c>
      <c r="C25" s="19" t="s">
        <v>266</v>
      </c>
      <c r="D25" s="19" t="s">
        <v>403</v>
      </c>
      <c r="E25" s="19">
        <v>132</v>
      </c>
      <c r="F25" s="19">
        <v>0.9</v>
      </c>
      <c r="G25" s="19">
        <v>14</v>
      </c>
      <c r="H25" s="19">
        <v>1047.5999999999999</v>
      </c>
      <c r="I25" s="26" t="s">
        <v>41</v>
      </c>
      <c r="J25" s="19">
        <v>4060</v>
      </c>
      <c r="K25" s="14">
        <f>INDEX(SKU_Master!$H:$H,MATCH(A25,SKU_Master!$A:$A,0))</f>
        <v>36</v>
      </c>
      <c r="L25" s="14">
        <f t="shared" si="0"/>
        <v>113</v>
      </c>
    </row>
    <row r="26" spans="1:12" x14ac:dyDescent="0.3">
      <c r="A26" s="19" t="s">
        <v>298</v>
      </c>
      <c r="B26" s="19" t="s">
        <v>299</v>
      </c>
      <c r="C26" s="19" t="s">
        <v>266</v>
      </c>
      <c r="D26" s="19" t="s">
        <v>405</v>
      </c>
      <c r="E26" s="19">
        <v>117</v>
      </c>
      <c r="F26" s="19">
        <v>0.9</v>
      </c>
      <c r="G26" s="19">
        <v>4</v>
      </c>
      <c r="H26" s="19">
        <v>868.9</v>
      </c>
      <c r="I26" s="26" t="s">
        <v>41</v>
      </c>
      <c r="J26" s="19">
        <v>1790</v>
      </c>
      <c r="K26" s="14">
        <f>INDEX(SKU_Master!$H:$H,MATCH(A26,SKU_Master!$A:$A,0))</f>
        <v>24</v>
      </c>
      <c r="L26" s="14">
        <f t="shared" si="0"/>
        <v>75</v>
      </c>
    </row>
    <row r="27" spans="1:12" x14ac:dyDescent="0.3">
      <c r="A27" s="19" t="s">
        <v>387</v>
      </c>
      <c r="B27" s="19" t="s">
        <v>388</v>
      </c>
      <c r="C27" s="19" t="s">
        <v>329</v>
      </c>
      <c r="D27" s="19" t="s">
        <v>403</v>
      </c>
      <c r="E27" s="19">
        <v>33</v>
      </c>
      <c r="F27" s="19">
        <v>0.9</v>
      </c>
      <c r="G27" s="19">
        <v>5</v>
      </c>
      <c r="H27" s="19">
        <v>96.1</v>
      </c>
      <c r="I27" s="26" t="s">
        <v>41</v>
      </c>
      <c r="J27" s="19">
        <v>688</v>
      </c>
      <c r="K27" s="14">
        <f>INDEX(SKU_Master!$H:$H,MATCH(A27,SKU_Master!$A:$A,0))</f>
        <v>12</v>
      </c>
      <c r="L27" s="14">
        <f t="shared" si="0"/>
        <v>58</v>
      </c>
    </row>
    <row r="28" spans="1:12" x14ac:dyDescent="0.3">
      <c r="A28" s="19" t="s">
        <v>81</v>
      </c>
      <c r="B28" s="19" t="s">
        <v>82</v>
      </c>
      <c r="C28" s="19" t="s">
        <v>57</v>
      </c>
      <c r="D28" s="19" t="s">
        <v>405</v>
      </c>
      <c r="E28" s="19">
        <v>90</v>
      </c>
      <c r="F28" s="19">
        <v>1</v>
      </c>
      <c r="G28" s="19">
        <v>5</v>
      </c>
      <c r="H28" s="19">
        <v>719.1</v>
      </c>
      <c r="I28" s="26" t="s">
        <v>41</v>
      </c>
      <c r="J28" s="19">
        <v>1409</v>
      </c>
      <c r="K28" s="14">
        <f>INDEX(SKU_Master!$H:$H,MATCH(A28,SKU_Master!$A:$A,0))</f>
        <v>48</v>
      </c>
      <c r="L28" s="14">
        <f t="shared" si="0"/>
        <v>30</v>
      </c>
    </row>
    <row r="29" spans="1:12" x14ac:dyDescent="0.3">
      <c r="A29" s="19" t="s">
        <v>173</v>
      </c>
      <c r="B29" s="19" t="s">
        <v>174</v>
      </c>
      <c r="C29" s="19" t="s">
        <v>137</v>
      </c>
      <c r="D29" s="19" t="s">
        <v>403</v>
      </c>
      <c r="E29" s="19">
        <v>83</v>
      </c>
      <c r="F29" s="19">
        <v>1</v>
      </c>
      <c r="G29" s="19">
        <v>7</v>
      </c>
      <c r="H29" s="19">
        <v>471.1</v>
      </c>
      <c r="I29" s="26" t="s">
        <v>41</v>
      </c>
      <c r="J29" s="19">
        <v>1632</v>
      </c>
      <c r="K29" s="14">
        <f>INDEX(SKU_Master!$H:$H,MATCH(A29,SKU_Master!$A:$A,0))</f>
        <v>24</v>
      </c>
      <c r="L29" s="14">
        <f t="shared" si="0"/>
        <v>68</v>
      </c>
    </row>
    <row r="30" spans="1:12" x14ac:dyDescent="0.3">
      <c r="A30" s="19" t="s">
        <v>198</v>
      </c>
      <c r="B30" s="19" t="s">
        <v>199</v>
      </c>
      <c r="C30" s="19" t="s">
        <v>137</v>
      </c>
      <c r="D30" s="19" t="s">
        <v>405</v>
      </c>
      <c r="E30" s="19">
        <v>97</v>
      </c>
      <c r="F30" s="19">
        <v>1</v>
      </c>
      <c r="G30" s="19">
        <v>4</v>
      </c>
      <c r="H30" s="19">
        <v>575.79999999999995</v>
      </c>
      <c r="I30" s="26" t="s">
        <v>41</v>
      </c>
      <c r="J30" s="19">
        <v>1381</v>
      </c>
      <c r="K30" s="14">
        <f>INDEX(SKU_Master!$H:$H,MATCH(A30,SKU_Master!$A:$A,0))</f>
        <v>48</v>
      </c>
      <c r="L30" s="14">
        <f t="shared" si="0"/>
        <v>29</v>
      </c>
    </row>
    <row r="31" spans="1:12" x14ac:dyDescent="0.3">
      <c r="A31" s="19" t="s">
        <v>230</v>
      </c>
      <c r="B31" s="19" t="s">
        <v>231</v>
      </c>
      <c r="C31" s="19" t="s">
        <v>202</v>
      </c>
      <c r="D31" s="19" t="s">
        <v>403</v>
      </c>
      <c r="E31" s="19">
        <v>26</v>
      </c>
      <c r="F31" s="19">
        <v>1</v>
      </c>
      <c r="G31" s="19">
        <v>4</v>
      </c>
      <c r="H31" s="19">
        <v>170.7</v>
      </c>
      <c r="I31" s="26" t="s">
        <v>41</v>
      </c>
      <c r="J31" s="19">
        <v>396</v>
      </c>
      <c r="K31" s="14">
        <f>INDEX(SKU_Master!$H:$H,MATCH(A31,SKU_Master!$A:$A,0))</f>
        <v>24</v>
      </c>
      <c r="L31" s="14">
        <f t="shared" si="0"/>
        <v>17</v>
      </c>
    </row>
    <row r="32" spans="1:12" x14ac:dyDescent="0.3">
      <c r="A32" s="19" t="s">
        <v>267</v>
      </c>
      <c r="B32" s="19" t="s">
        <v>268</v>
      </c>
      <c r="C32" s="19" t="s">
        <v>266</v>
      </c>
      <c r="D32" s="19" t="s">
        <v>403</v>
      </c>
      <c r="E32" s="19">
        <v>193</v>
      </c>
      <c r="F32" s="19">
        <v>1</v>
      </c>
      <c r="G32" s="19">
        <v>4</v>
      </c>
      <c r="H32" s="19">
        <v>1254.2</v>
      </c>
      <c r="I32" s="26" t="s">
        <v>41</v>
      </c>
      <c r="J32" s="19">
        <v>2875</v>
      </c>
      <c r="K32" s="14">
        <f>INDEX(SKU_Master!$H:$H,MATCH(A32,SKU_Master!$A:$A,0))</f>
        <v>42</v>
      </c>
      <c r="L32" s="14">
        <f t="shared" si="0"/>
        <v>69</v>
      </c>
    </row>
    <row r="33" spans="1:12" x14ac:dyDescent="0.3">
      <c r="A33" s="19" t="s">
        <v>156</v>
      </c>
      <c r="B33" s="19" t="s">
        <v>157</v>
      </c>
      <c r="C33" s="19" t="s">
        <v>137</v>
      </c>
      <c r="D33" s="19" t="s">
        <v>403</v>
      </c>
      <c r="E33" s="19">
        <v>138</v>
      </c>
      <c r="F33" s="19">
        <v>1.1000000000000001</v>
      </c>
      <c r="G33" s="19">
        <v>10</v>
      </c>
      <c r="H33" s="19">
        <v>770.9</v>
      </c>
      <c r="I33" s="26" t="s">
        <v>41</v>
      </c>
      <c r="J33" s="19">
        <v>2681</v>
      </c>
      <c r="K33" s="14">
        <f>INDEX(SKU_Master!$H:$H,MATCH(A33,SKU_Master!$A:$A,0))</f>
        <v>48</v>
      </c>
      <c r="L33" s="14">
        <f t="shared" si="0"/>
        <v>56</v>
      </c>
    </row>
    <row r="34" spans="1:12" x14ac:dyDescent="0.3">
      <c r="A34" s="19" t="s">
        <v>135</v>
      </c>
      <c r="B34" s="19" t="s">
        <v>136</v>
      </c>
      <c r="C34" s="19" t="s">
        <v>137</v>
      </c>
      <c r="D34" s="19" t="s">
        <v>403</v>
      </c>
      <c r="E34" s="19">
        <v>78</v>
      </c>
      <c r="F34" s="19">
        <v>1.2</v>
      </c>
      <c r="G34" s="19">
        <v>7</v>
      </c>
      <c r="H34" s="19">
        <v>399.2</v>
      </c>
      <c r="I34" s="26" t="s">
        <v>41</v>
      </c>
      <c r="J34" s="19">
        <v>1156</v>
      </c>
      <c r="K34" s="14">
        <f>INDEX(SKU_Master!$H:$H,MATCH(A34,SKU_Master!$A:$A,0))</f>
        <v>24</v>
      </c>
      <c r="L34" s="14">
        <f t="shared" si="0"/>
        <v>49</v>
      </c>
    </row>
    <row r="35" spans="1:12" x14ac:dyDescent="0.3">
      <c r="A35" s="19" t="s">
        <v>200</v>
      </c>
      <c r="B35" s="19" t="s">
        <v>201</v>
      </c>
      <c r="C35" s="19" t="s">
        <v>202</v>
      </c>
      <c r="D35" s="19" t="s">
        <v>403</v>
      </c>
      <c r="E35" s="19">
        <v>32</v>
      </c>
      <c r="F35" s="19">
        <v>1.2</v>
      </c>
      <c r="G35" s="19">
        <v>7</v>
      </c>
      <c r="H35" s="19">
        <v>166.3</v>
      </c>
      <c r="I35" s="26" t="s">
        <v>41</v>
      </c>
      <c r="J35" s="19">
        <v>514</v>
      </c>
      <c r="K35" s="14">
        <f>INDEX(SKU_Master!$H:$H,MATCH(A35,SKU_Master!$A:$A,0))</f>
        <v>18</v>
      </c>
      <c r="L35" s="14">
        <f t="shared" si="0"/>
        <v>29</v>
      </c>
    </row>
    <row r="36" spans="1:12" x14ac:dyDescent="0.3">
      <c r="A36" s="19" t="s">
        <v>222</v>
      </c>
      <c r="B36" s="19" t="s">
        <v>223</v>
      </c>
      <c r="C36" s="19" t="s">
        <v>202</v>
      </c>
      <c r="D36" s="19" t="s">
        <v>403</v>
      </c>
      <c r="E36" s="19">
        <v>58</v>
      </c>
      <c r="F36" s="19">
        <v>1.5</v>
      </c>
      <c r="G36" s="19">
        <v>7</v>
      </c>
      <c r="H36" s="19">
        <v>221.5</v>
      </c>
      <c r="I36" s="26" t="s">
        <v>41</v>
      </c>
      <c r="J36" s="19">
        <v>720</v>
      </c>
      <c r="K36" s="14">
        <f>INDEX(SKU_Master!$H:$H,MATCH(A36,SKU_Master!$A:$A,0))</f>
        <v>24</v>
      </c>
      <c r="L36" s="14">
        <f t="shared" ref="L36:L67" si="1">IF(K36=0,0,ROUNDUP(J36/K36,0))</f>
        <v>30</v>
      </c>
    </row>
    <row r="37" spans="1:12" x14ac:dyDescent="0.3">
      <c r="A37" s="19" t="s">
        <v>355</v>
      </c>
      <c r="B37" s="19" t="s">
        <v>356</v>
      </c>
      <c r="C37" s="19" t="s">
        <v>329</v>
      </c>
      <c r="D37" s="19" t="s">
        <v>404</v>
      </c>
      <c r="E37" s="19">
        <v>26</v>
      </c>
      <c r="F37" s="19">
        <v>1.6</v>
      </c>
      <c r="G37" s="19">
        <v>10</v>
      </c>
      <c r="H37" s="19">
        <v>44.3</v>
      </c>
      <c r="I37" s="26" t="s">
        <v>41</v>
      </c>
      <c r="J37" s="19">
        <v>395</v>
      </c>
      <c r="K37" s="14">
        <f>INDEX(SKU_Master!$H:$H,MATCH(A37,SKU_Master!$A:$A,0))</f>
        <v>12</v>
      </c>
      <c r="L37" s="14">
        <f t="shared" si="1"/>
        <v>33</v>
      </c>
    </row>
    <row r="38" spans="1:12" x14ac:dyDescent="0.3">
      <c r="A38" s="19" t="s">
        <v>133</v>
      </c>
      <c r="B38" s="19" t="s">
        <v>134</v>
      </c>
      <c r="C38" s="19" t="s">
        <v>57</v>
      </c>
      <c r="D38" s="19" t="s">
        <v>405</v>
      </c>
      <c r="E38" s="19">
        <v>131</v>
      </c>
      <c r="F38" s="19">
        <v>1.7</v>
      </c>
      <c r="G38" s="19">
        <v>7</v>
      </c>
      <c r="H38" s="19">
        <v>455.1</v>
      </c>
      <c r="I38" s="26" t="s">
        <v>41</v>
      </c>
      <c r="J38" s="19">
        <v>1248</v>
      </c>
      <c r="K38" s="14">
        <f>INDEX(SKU_Master!$H:$H,MATCH(A38,SKU_Master!$A:$A,0))</f>
        <v>48</v>
      </c>
      <c r="L38" s="14">
        <f t="shared" si="1"/>
        <v>26</v>
      </c>
    </row>
    <row r="39" spans="1:12" x14ac:dyDescent="0.3">
      <c r="A39" s="19" t="s">
        <v>308</v>
      </c>
      <c r="B39" s="19" t="s">
        <v>309</v>
      </c>
      <c r="C39" s="19" t="s">
        <v>266</v>
      </c>
      <c r="D39" s="19" t="s">
        <v>405</v>
      </c>
      <c r="E39" s="19">
        <v>116</v>
      </c>
      <c r="F39" s="19">
        <v>1.8</v>
      </c>
      <c r="G39" s="19">
        <v>14</v>
      </c>
      <c r="H39" s="19">
        <v>484.2</v>
      </c>
      <c r="I39" s="26" t="s">
        <v>41</v>
      </c>
      <c r="J39" s="19">
        <v>1610</v>
      </c>
      <c r="K39" s="14">
        <f>INDEX(SKU_Master!$H:$H,MATCH(A39,SKU_Master!$A:$A,0))</f>
        <v>30</v>
      </c>
      <c r="L39" s="14">
        <f t="shared" si="1"/>
        <v>54</v>
      </c>
    </row>
    <row r="40" spans="1:12" x14ac:dyDescent="0.3">
      <c r="A40" s="19" t="s">
        <v>63</v>
      </c>
      <c r="B40" s="19" t="s">
        <v>64</v>
      </c>
      <c r="C40" s="19" t="s">
        <v>57</v>
      </c>
      <c r="D40" s="19" t="s">
        <v>404</v>
      </c>
      <c r="E40" s="19">
        <v>131</v>
      </c>
      <c r="F40" s="19">
        <v>2</v>
      </c>
      <c r="G40" s="19">
        <v>7</v>
      </c>
      <c r="H40" s="19">
        <v>445.3</v>
      </c>
      <c r="I40" s="26" t="s">
        <v>41</v>
      </c>
      <c r="J40" s="19">
        <v>1133</v>
      </c>
      <c r="K40" s="14">
        <f>INDEX(SKU_Master!$H:$H,MATCH(A40,SKU_Master!$A:$A,0))</f>
        <v>24</v>
      </c>
      <c r="L40" s="14">
        <f t="shared" si="1"/>
        <v>48</v>
      </c>
    </row>
    <row r="41" spans="1:12" x14ac:dyDescent="0.3">
      <c r="A41" s="19" t="s">
        <v>85</v>
      </c>
      <c r="B41" s="19" t="s">
        <v>86</v>
      </c>
      <c r="C41" s="19" t="s">
        <v>57</v>
      </c>
      <c r="D41" s="19" t="s">
        <v>403</v>
      </c>
      <c r="E41" s="19">
        <v>310</v>
      </c>
      <c r="F41" s="19">
        <v>2</v>
      </c>
      <c r="G41" s="19">
        <v>7</v>
      </c>
      <c r="H41" s="19">
        <v>1031.2</v>
      </c>
      <c r="I41" s="26" t="s">
        <v>41</v>
      </c>
      <c r="J41" s="19">
        <v>2766</v>
      </c>
      <c r="K41" s="14">
        <f>INDEX(SKU_Master!$H:$H,MATCH(A41,SKU_Master!$A:$A,0))</f>
        <v>42</v>
      </c>
      <c r="L41" s="14">
        <f t="shared" si="1"/>
        <v>66</v>
      </c>
    </row>
    <row r="42" spans="1:12" x14ac:dyDescent="0.3">
      <c r="A42" s="19" t="s">
        <v>214</v>
      </c>
      <c r="B42" s="19" t="s">
        <v>215</v>
      </c>
      <c r="C42" s="19" t="s">
        <v>202</v>
      </c>
      <c r="D42" s="19" t="s">
        <v>403</v>
      </c>
      <c r="E42" s="19">
        <v>63</v>
      </c>
      <c r="F42" s="19">
        <v>2</v>
      </c>
      <c r="G42" s="19">
        <v>7</v>
      </c>
      <c r="H42" s="19">
        <v>202</v>
      </c>
      <c r="I42" s="26" t="s">
        <v>41</v>
      </c>
      <c r="J42" s="19">
        <v>545</v>
      </c>
      <c r="K42" s="14">
        <f>INDEX(SKU_Master!$H:$H,MATCH(A42,SKU_Master!$A:$A,0))</f>
        <v>12</v>
      </c>
      <c r="L42" s="14">
        <f t="shared" si="1"/>
        <v>46</v>
      </c>
    </row>
    <row r="43" spans="1:12" x14ac:dyDescent="0.3">
      <c r="A43" s="19" t="s">
        <v>102</v>
      </c>
      <c r="B43" s="19" t="s">
        <v>103</v>
      </c>
      <c r="C43" s="19" t="s">
        <v>57</v>
      </c>
      <c r="D43" s="19" t="s">
        <v>405</v>
      </c>
      <c r="E43" s="19">
        <v>118</v>
      </c>
      <c r="F43" s="19">
        <v>2.1</v>
      </c>
      <c r="G43" s="19">
        <v>10</v>
      </c>
      <c r="H43" s="19">
        <v>399</v>
      </c>
      <c r="I43" s="26" t="s">
        <v>41</v>
      </c>
      <c r="J43" s="19">
        <v>1153</v>
      </c>
      <c r="K43" s="14">
        <f>INDEX(SKU_Master!$H:$H,MATCH(A43,SKU_Master!$A:$A,0))</f>
        <v>36</v>
      </c>
      <c r="L43" s="14">
        <f t="shared" si="1"/>
        <v>33</v>
      </c>
    </row>
    <row r="44" spans="1:12" x14ac:dyDescent="0.3">
      <c r="A44" s="19" t="s">
        <v>248</v>
      </c>
      <c r="B44" s="19" t="s">
        <v>249</v>
      </c>
      <c r="C44" s="19" t="s">
        <v>202</v>
      </c>
      <c r="D44" s="19" t="s">
        <v>403</v>
      </c>
      <c r="E44" s="19">
        <v>41</v>
      </c>
      <c r="F44" s="19">
        <v>2.4</v>
      </c>
      <c r="G44" s="19">
        <v>14</v>
      </c>
      <c r="H44" s="19">
        <v>101</v>
      </c>
      <c r="I44" s="26" t="s">
        <v>41</v>
      </c>
      <c r="J44" s="19">
        <v>433</v>
      </c>
      <c r="K44" s="14">
        <f>INDEX(SKU_Master!$H:$H,MATCH(A44,SKU_Master!$A:$A,0))</f>
        <v>18</v>
      </c>
      <c r="L44" s="14">
        <f t="shared" si="1"/>
        <v>25</v>
      </c>
    </row>
    <row r="45" spans="1:12" x14ac:dyDescent="0.3">
      <c r="A45" s="19" t="s">
        <v>95</v>
      </c>
      <c r="B45" s="19" t="s">
        <v>96</v>
      </c>
      <c r="C45" s="19" t="s">
        <v>57</v>
      </c>
      <c r="D45" s="19" t="s">
        <v>405</v>
      </c>
      <c r="E45" s="19">
        <v>164</v>
      </c>
      <c r="F45" s="19">
        <v>2.6</v>
      </c>
      <c r="G45" s="19">
        <v>10</v>
      </c>
      <c r="H45" s="19">
        <v>366.6</v>
      </c>
      <c r="I45" s="26" t="s">
        <v>41</v>
      </c>
      <c r="J45" s="19">
        <v>1236</v>
      </c>
      <c r="K45" s="14">
        <f>INDEX(SKU_Master!$H:$H,MATCH(A45,SKU_Master!$A:$A,0))</f>
        <v>24</v>
      </c>
      <c r="L45" s="14">
        <f t="shared" si="1"/>
        <v>52</v>
      </c>
    </row>
    <row r="46" spans="1:12" x14ac:dyDescent="0.3">
      <c r="A46" s="19" t="s">
        <v>269</v>
      </c>
      <c r="B46" s="19" t="s">
        <v>270</v>
      </c>
      <c r="C46" s="19" t="s">
        <v>266</v>
      </c>
      <c r="D46" s="19" t="s">
        <v>405</v>
      </c>
      <c r="E46" s="19">
        <v>221</v>
      </c>
      <c r="F46" s="19">
        <v>3.3</v>
      </c>
      <c r="G46" s="19">
        <v>14</v>
      </c>
      <c r="H46" s="19">
        <v>487.3</v>
      </c>
      <c r="I46" s="26" t="s">
        <v>41</v>
      </c>
      <c r="J46" s="19">
        <v>1553</v>
      </c>
      <c r="K46" s="14">
        <f>INDEX(SKU_Master!$H:$H,MATCH(A46,SKU_Master!$A:$A,0))</f>
        <v>54</v>
      </c>
      <c r="L46" s="14">
        <f t="shared" si="1"/>
        <v>29</v>
      </c>
    </row>
    <row r="47" spans="1:12" x14ac:dyDescent="0.3">
      <c r="A47" s="19" t="s">
        <v>55</v>
      </c>
      <c r="B47" s="19" t="s">
        <v>56</v>
      </c>
      <c r="C47" s="19" t="s">
        <v>57</v>
      </c>
      <c r="D47" s="19" t="s">
        <v>403</v>
      </c>
      <c r="E47" s="19">
        <v>113</v>
      </c>
      <c r="F47" s="19">
        <v>0.7</v>
      </c>
      <c r="G47" s="19">
        <v>2</v>
      </c>
      <c r="H47" s="19">
        <v>1009.4</v>
      </c>
      <c r="I47" s="27" t="s">
        <v>42</v>
      </c>
      <c r="J47" s="19">
        <v>2071</v>
      </c>
      <c r="K47" s="14">
        <f>INDEX(SKU_Master!$H:$H,MATCH(A47,SKU_Master!$A:$A,0))</f>
        <v>36</v>
      </c>
      <c r="L47" s="14">
        <f t="shared" si="1"/>
        <v>58</v>
      </c>
    </row>
    <row r="48" spans="1:12" x14ac:dyDescent="0.3">
      <c r="A48" s="19" t="s">
        <v>211</v>
      </c>
      <c r="B48" s="19" t="s">
        <v>212</v>
      </c>
      <c r="C48" s="19" t="s">
        <v>202</v>
      </c>
      <c r="D48" s="19" t="s">
        <v>403</v>
      </c>
      <c r="E48" s="19">
        <v>13</v>
      </c>
      <c r="F48" s="19">
        <v>0.9</v>
      </c>
      <c r="G48" s="19">
        <v>3</v>
      </c>
      <c r="H48" s="19">
        <v>96</v>
      </c>
      <c r="I48" s="27" t="s">
        <v>42</v>
      </c>
      <c r="J48" s="19">
        <v>209</v>
      </c>
      <c r="K48" s="14">
        <f>INDEX(SKU_Master!$H:$H,MATCH(A48,SKU_Master!$A:$A,0))</f>
        <v>18</v>
      </c>
      <c r="L48" s="14">
        <f t="shared" si="1"/>
        <v>12</v>
      </c>
    </row>
    <row r="49" spans="1:12" x14ac:dyDescent="0.3">
      <c r="A49" s="19" t="s">
        <v>147</v>
      </c>
      <c r="B49" s="19" t="s">
        <v>148</v>
      </c>
      <c r="C49" s="19" t="s">
        <v>137</v>
      </c>
      <c r="D49" s="19" t="s">
        <v>403</v>
      </c>
      <c r="E49" s="19">
        <v>78</v>
      </c>
      <c r="F49" s="19">
        <v>1</v>
      </c>
      <c r="G49" s="19">
        <v>2</v>
      </c>
      <c r="H49" s="19">
        <v>435</v>
      </c>
      <c r="I49" s="27" t="s">
        <v>42</v>
      </c>
      <c r="J49" s="19">
        <v>973</v>
      </c>
      <c r="K49" s="14">
        <f>INDEX(SKU_Master!$H:$H,MATCH(A49,SKU_Master!$A:$A,0))</f>
        <v>30</v>
      </c>
      <c r="L49" s="14">
        <f t="shared" si="1"/>
        <v>33</v>
      </c>
    </row>
    <row r="50" spans="1:12" x14ac:dyDescent="0.3">
      <c r="A50" s="19" t="s">
        <v>177</v>
      </c>
      <c r="B50" s="19" t="s">
        <v>178</v>
      </c>
      <c r="C50" s="19" t="s">
        <v>137</v>
      </c>
      <c r="D50" s="19" t="s">
        <v>403</v>
      </c>
      <c r="E50" s="19">
        <v>143</v>
      </c>
      <c r="F50" s="19">
        <v>1</v>
      </c>
      <c r="G50" s="19">
        <v>2</v>
      </c>
      <c r="H50" s="19">
        <v>724.2</v>
      </c>
      <c r="I50" s="27" t="s">
        <v>42</v>
      </c>
      <c r="J50" s="19">
        <v>1932</v>
      </c>
      <c r="K50" s="14">
        <f>INDEX(SKU_Master!$H:$H,MATCH(A50,SKU_Master!$A:$A,0))</f>
        <v>48</v>
      </c>
      <c r="L50" s="14">
        <f t="shared" si="1"/>
        <v>41</v>
      </c>
    </row>
    <row r="51" spans="1:12" x14ac:dyDescent="0.3">
      <c r="A51" s="19" t="s">
        <v>375</v>
      </c>
      <c r="B51" s="19" t="s">
        <v>376</v>
      </c>
      <c r="C51" s="19" t="s">
        <v>329</v>
      </c>
      <c r="D51" s="19" t="s">
        <v>403</v>
      </c>
      <c r="E51" s="19">
        <v>23</v>
      </c>
      <c r="F51" s="19">
        <v>1</v>
      </c>
      <c r="G51" s="19">
        <v>2</v>
      </c>
      <c r="H51" s="19">
        <v>82.1</v>
      </c>
      <c r="I51" s="27" t="s">
        <v>42</v>
      </c>
      <c r="J51" s="19">
        <v>309</v>
      </c>
      <c r="K51" s="14">
        <f>INDEX(SKU_Master!$H:$H,MATCH(A51,SKU_Master!$A:$A,0))</f>
        <v>6</v>
      </c>
      <c r="L51" s="14">
        <f t="shared" si="1"/>
        <v>52</v>
      </c>
    </row>
    <row r="52" spans="1:12" x14ac:dyDescent="0.3">
      <c r="A52" s="19" t="s">
        <v>381</v>
      </c>
      <c r="B52" s="19" t="s">
        <v>382</v>
      </c>
      <c r="C52" s="19" t="s">
        <v>329</v>
      </c>
      <c r="D52" s="19" t="s">
        <v>404</v>
      </c>
      <c r="E52" s="19">
        <v>45</v>
      </c>
      <c r="F52" s="19">
        <v>1.1000000000000001</v>
      </c>
      <c r="G52" s="19">
        <v>2</v>
      </c>
      <c r="H52" s="19">
        <v>80.900000000000006</v>
      </c>
      <c r="I52" s="27" t="s">
        <v>42</v>
      </c>
      <c r="J52" s="19">
        <v>564</v>
      </c>
      <c r="K52" s="14">
        <f>INDEX(SKU_Master!$H:$H,MATCH(A52,SKU_Master!$A:$A,0))</f>
        <v>12</v>
      </c>
      <c r="L52" s="14">
        <f t="shared" si="1"/>
        <v>47</v>
      </c>
    </row>
    <row r="53" spans="1:12" x14ac:dyDescent="0.3">
      <c r="A53" s="19" t="s">
        <v>206</v>
      </c>
      <c r="B53" s="19" t="s">
        <v>207</v>
      </c>
      <c r="C53" s="19" t="s">
        <v>202</v>
      </c>
      <c r="D53" s="19" t="s">
        <v>403</v>
      </c>
      <c r="E53" s="19">
        <v>39</v>
      </c>
      <c r="F53" s="19">
        <v>1.2</v>
      </c>
      <c r="G53" s="19">
        <v>4</v>
      </c>
      <c r="H53" s="19">
        <v>207.2</v>
      </c>
      <c r="I53" s="27" t="s">
        <v>42</v>
      </c>
      <c r="J53" s="19">
        <v>472</v>
      </c>
      <c r="K53" s="14">
        <f>INDEX(SKU_Master!$H:$H,MATCH(A53,SKU_Master!$A:$A,0))</f>
        <v>24</v>
      </c>
      <c r="L53" s="14">
        <f t="shared" si="1"/>
        <v>20</v>
      </c>
    </row>
    <row r="54" spans="1:12" x14ac:dyDescent="0.3">
      <c r="A54" s="19" t="s">
        <v>285</v>
      </c>
      <c r="B54" s="19" t="s">
        <v>286</v>
      </c>
      <c r="C54" s="19" t="s">
        <v>266</v>
      </c>
      <c r="D54" s="19" t="s">
        <v>403</v>
      </c>
      <c r="E54" s="19">
        <v>94</v>
      </c>
      <c r="F54" s="19">
        <v>1.2</v>
      </c>
      <c r="G54" s="19">
        <v>4</v>
      </c>
      <c r="H54" s="19">
        <v>614.70000000000005</v>
      </c>
      <c r="I54" s="27" t="s">
        <v>42</v>
      </c>
      <c r="J54" s="19">
        <v>1163</v>
      </c>
      <c r="K54" s="14">
        <f>INDEX(SKU_Master!$H:$H,MATCH(A54,SKU_Master!$A:$A,0))</f>
        <v>48</v>
      </c>
      <c r="L54" s="14">
        <f t="shared" si="1"/>
        <v>25</v>
      </c>
    </row>
    <row r="55" spans="1:12" x14ac:dyDescent="0.3">
      <c r="A55" s="19" t="s">
        <v>320</v>
      </c>
      <c r="B55" s="19" t="s">
        <v>321</v>
      </c>
      <c r="C55" s="19" t="s">
        <v>266</v>
      </c>
      <c r="D55" s="19" t="s">
        <v>404</v>
      </c>
      <c r="E55" s="19">
        <v>146</v>
      </c>
      <c r="F55" s="19">
        <v>1.2</v>
      </c>
      <c r="G55" s="19">
        <v>4</v>
      </c>
      <c r="H55" s="19">
        <v>932.6</v>
      </c>
      <c r="I55" s="27" t="s">
        <v>42</v>
      </c>
      <c r="J55" s="19">
        <v>1779</v>
      </c>
      <c r="K55" s="14">
        <f>INDEX(SKU_Master!$H:$H,MATCH(A55,SKU_Master!$A:$A,0))</f>
        <v>24</v>
      </c>
      <c r="L55" s="14">
        <f t="shared" si="1"/>
        <v>75</v>
      </c>
    </row>
    <row r="56" spans="1:12" x14ac:dyDescent="0.3">
      <c r="A56" s="19" t="s">
        <v>128</v>
      </c>
      <c r="B56" s="19" t="s">
        <v>129</v>
      </c>
      <c r="C56" s="19" t="s">
        <v>57</v>
      </c>
      <c r="D56" s="19" t="s">
        <v>403</v>
      </c>
      <c r="E56" s="19">
        <v>94</v>
      </c>
      <c r="F56" s="19">
        <v>1.3</v>
      </c>
      <c r="G56" s="19">
        <v>3</v>
      </c>
      <c r="H56" s="19">
        <v>512.6</v>
      </c>
      <c r="I56" s="27" t="s">
        <v>42</v>
      </c>
      <c r="J56" s="19">
        <v>964</v>
      </c>
      <c r="K56" s="14">
        <f>INDEX(SKU_Master!$H:$H,MATCH(A56,SKU_Master!$A:$A,0))</f>
        <v>24</v>
      </c>
      <c r="L56" s="14">
        <f t="shared" si="1"/>
        <v>41</v>
      </c>
    </row>
    <row r="57" spans="1:12" x14ac:dyDescent="0.3">
      <c r="A57" s="19" t="s">
        <v>271</v>
      </c>
      <c r="B57" s="19" t="s">
        <v>272</v>
      </c>
      <c r="C57" s="19" t="s">
        <v>266</v>
      </c>
      <c r="D57" s="19" t="s">
        <v>404</v>
      </c>
      <c r="E57" s="19">
        <v>71</v>
      </c>
      <c r="F57" s="19">
        <v>1.3</v>
      </c>
      <c r="G57" s="19">
        <v>4</v>
      </c>
      <c r="H57" s="19">
        <v>408.9</v>
      </c>
      <c r="I57" s="27" t="s">
        <v>42</v>
      </c>
      <c r="J57" s="19">
        <v>768</v>
      </c>
      <c r="K57" s="14">
        <f>INDEX(SKU_Master!$H:$H,MATCH(A57,SKU_Master!$A:$A,0))</f>
        <v>54</v>
      </c>
      <c r="L57" s="14">
        <f t="shared" si="1"/>
        <v>15</v>
      </c>
    </row>
    <row r="58" spans="1:12" x14ac:dyDescent="0.3">
      <c r="A58" s="19" t="s">
        <v>171</v>
      </c>
      <c r="B58" s="19" t="s">
        <v>172</v>
      </c>
      <c r="C58" s="19" t="s">
        <v>137</v>
      </c>
      <c r="D58" s="19" t="s">
        <v>403</v>
      </c>
      <c r="E58" s="19">
        <v>168</v>
      </c>
      <c r="F58" s="19">
        <v>1.6</v>
      </c>
      <c r="G58" s="19">
        <v>4</v>
      </c>
      <c r="H58" s="19">
        <v>660.8</v>
      </c>
      <c r="I58" s="27" t="s">
        <v>42</v>
      </c>
      <c r="J58" s="19">
        <v>1491</v>
      </c>
      <c r="K58" s="14">
        <f>INDEX(SKU_Master!$H:$H,MATCH(A58,SKU_Master!$A:$A,0))</f>
        <v>36</v>
      </c>
      <c r="L58" s="14">
        <f t="shared" si="1"/>
        <v>42</v>
      </c>
    </row>
    <row r="59" spans="1:12" x14ac:dyDescent="0.3">
      <c r="A59" s="19" t="s">
        <v>218</v>
      </c>
      <c r="B59" s="19" t="s">
        <v>219</v>
      </c>
      <c r="C59" s="19" t="s">
        <v>202</v>
      </c>
      <c r="D59" s="19" t="s">
        <v>403</v>
      </c>
      <c r="E59" s="19">
        <v>24</v>
      </c>
      <c r="F59" s="19">
        <v>1.7</v>
      </c>
      <c r="G59" s="19">
        <v>5</v>
      </c>
      <c r="H59" s="19">
        <v>95.1</v>
      </c>
      <c r="I59" s="27" t="s">
        <v>42</v>
      </c>
      <c r="J59" s="19">
        <v>218</v>
      </c>
      <c r="K59" s="14">
        <f>INDEX(SKU_Master!$H:$H,MATCH(A59,SKU_Master!$A:$A,0))</f>
        <v>24</v>
      </c>
      <c r="L59" s="14">
        <f t="shared" si="1"/>
        <v>10</v>
      </c>
    </row>
    <row r="60" spans="1:12" x14ac:dyDescent="0.3">
      <c r="A60" s="19" t="s">
        <v>347</v>
      </c>
      <c r="B60" s="19" t="s">
        <v>348</v>
      </c>
      <c r="C60" s="19" t="s">
        <v>329</v>
      </c>
      <c r="D60" s="19" t="s">
        <v>403</v>
      </c>
      <c r="E60" s="19">
        <v>25</v>
      </c>
      <c r="F60" s="19">
        <v>1.7</v>
      </c>
      <c r="G60" s="19">
        <v>3</v>
      </c>
      <c r="H60" s="19">
        <v>45.3</v>
      </c>
      <c r="I60" s="27" t="s">
        <v>42</v>
      </c>
      <c r="J60" s="19">
        <v>221</v>
      </c>
      <c r="K60" s="14">
        <f>INDEX(SKU_Master!$H:$H,MATCH(A60,SKU_Master!$A:$A,0))</f>
        <v>6</v>
      </c>
      <c r="L60" s="14">
        <f t="shared" si="1"/>
        <v>37</v>
      </c>
    </row>
    <row r="61" spans="1:12" x14ac:dyDescent="0.3">
      <c r="A61" s="19" t="s">
        <v>204</v>
      </c>
      <c r="B61" s="19" t="s">
        <v>205</v>
      </c>
      <c r="C61" s="19" t="s">
        <v>202</v>
      </c>
      <c r="D61" s="19" t="s">
        <v>403</v>
      </c>
      <c r="E61" s="19">
        <v>32</v>
      </c>
      <c r="F61" s="19">
        <v>2.2000000000000002</v>
      </c>
      <c r="G61" s="19">
        <v>4</v>
      </c>
      <c r="H61" s="19">
        <v>103.9</v>
      </c>
      <c r="I61" s="27" t="s">
        <v>42</v>
      </c>
      <c r="J61" s="19">
        <v>211</v>
      </c>
      <c r="K61" s="14">
        <f>INDEX(SKU_Master!$H:$H,MATCH(A61,SKU_Master!$A:$A,0))</f>
        <v>24</v>
      </c>
      <c r="L61" s="14">
        <f t="shared" si="1"/>
        <v>9</v>
      </c>
    </row>
    <row r="62" spans="1:12" x14ac:dyDescent="0.3">
      <c r="A62" s="19" t="s">
        <v>238</v>
      </c>
      <c r="B62" s="19" t="s">
        <v>239</v>
      </c>
      <c r="C62" s="19" t="s">
        <v>202</v>
      </c>
      <c r="D62" s="19" t="s">
        <v>403</v>
      </c>
      <c r="E62" s="19">
        <v>52</v>
      </c>
      <c r="F62" s="19">
        <v>2.8</v>
      </c>
      <c r="G62" s="19">
        <v>4</v>
      </c>
      <c r="H62" s="19">
        <v>112.8</v>
      </c>
      <c r="I62" s="27" t="s">
        <v>42</v>
      </c>
      <c r="J62" s="19">
        <v>257</v>
      </c>
      <c r="K62" s="14">
        <f>INDEX(SKU_Master!$H:$H,MATCH(A62,SKU_Master!$A:$A,0))</f>
        <v>24</v>
      </c>
      <c r="L62" s="14">
        <f t="shared" si="1"/>
        <v>11</v>
      </c>
    </row>
    <row r="63" spans="1:12" x14ac:dyDescent="0.3">
      <c r="A63" s="19" t="s">
        <v>339</v>
      </c>
      <c r="B63" s="19" t="s">
        <v>340</v>
      </c>
      <c r="C63" s="19" t="s">
        <v>329</v>
      </c>
      <c r="D63" s="19" t="s">
        <v>403</v>
      </c>
      <c r="E63" s="19">
        <v>55</v>
      </c>
      <c r="F63" s="19">
        <v>2.8</v>
      </c>
      <c r="G63" s="19">
        <v>4</v>
      </c>
      <c r="H63" s="19">
        <v>50.1</v>
      </c>
      <c r="I63" s="27" t="s">
        <v>42</v>
      </c>
      <c r="J63" s="19">
        <v>307</v>
      </c>
      <c r="K63" s="14">
        <f>INDEX(SKU_Master!$H:$H,MATCH(A63,SKU_Master!$A:$A,0))</f>
        <v>6</v>
      </c>
      <c r="L63" s="14">
        <f t="shared" si="1"/>
        <v>52</v>
      </c>
    </row>
    <row r="64" spans="1:12" x14ac:dyDescent="0.3">
      <c r="A64" s="19" t="s">
        <v>353</v>
      </c>
      <c r="B64" s="19" t="s">
        <v>354</v>
      </c>
      <c r="C64" s="19" t="s">
        <v>329</v>
      </c>
      <c r="D64" s="19" t="s">
        <v>403</v>
      </c>
      <c r="E64" s="19">
        <v>92</v>
      </c>
      <c r="F64" s="19">
        <v>3.1</v>
      </c>
      <c r="G64" s="19">
        <v>3</v>
      </c>
      <c r="H64" s="19">
        <v>93.2</v>
      </c>
      <c r="I64" s="27" t="s">
        <v>42</v>
      </c>
      <c r="J64" s="19">
        <v>406</v>
      </c>
      <c r="K64" s="14">
        <f>INDEX(SKU_Master!$H:$H,MATCH(A64,SKU_Master!$A:$A,0))</f>
        <v>6</v>
      </c>
      <c r="L64" s="14">
        <f t="shared" si="1"/>
        <v>68</v>
      </c>
    </row>
    <row r="65" spans="1:12" x14ac:dyDescent="0.3">
      <c r="A65" s="19" t="s">
        <v>373</v>
      </c>
      <c r="B65" s="19" t="s">
        <v>374</v>
      </c>
      <c r="C65" s="19" t="s">
        <v>329</v>
      </c>
      <c r="D65" s="19" t="s">
        <v>404</v>
      </c>
      <c r="E65" s="19">
        <v>44</v>
      </c>
      <c r="F65" s="19">
        <v>3.1</v>
      </c>
      <c r="G65" s="19">
        <v>4</v>
      </c>
      <c r="H65" s="19">
        <v>46.2</v>
      </c>
      <c r="I65" s="27" t="s">
        <v>42</v>
      </c>
      <c r="J65" s="19">
        <v>203</v>
      </c>
      <c r="K65" s="14">
        <f>INDEX(SKU_Master!$H:$H,MATCH(A65,SKU_Master!$A:$A,0))</f>
        <v>12</v>
      </c>
      <c r="L65" s="14">
        <f t="shared" si="1"/>
        <v>17</v>
      </c>
    </row>
    <row r="66" spans="1:12" x14ac:dyDescent="0.3">
      <c r="A66" s="19" t="s">
        <v>367</v>
      </c>
      <c r="B66" s="19" t="s">
        <v>368</v>
      </c>
      <c r="C66" s="19" t="s">
        <v>329</v>
      </c>
      <c r="D66" s="19" t="s">
        <v>403</v>
      </c>
      <c r="E66" s="19">
        <v>165</v>
      </c>
      <c r="F66" s="19">
        <v>3.4</v>
      </c>
      <c r="G66" s="19">
        <v>3</v>
      </c>
      <c r="H66" s="19">
        <v>120.2</v>
      </c>
      <c r="I66" s="27" t="s">
        <v>42</v>
      </c>
      <c r="J66" s="19">
        <v>658</v>
      </c>
      <c r="K66" s="14">
        <f>INDEX(SKU_Master!$H:$H,MATCH(A66,SKU_Master!$A:$A,0))</f>
        <v>12</v>
      </c>
      <c r="L66" s="14">
        <f t="shared" si="1"/>
        <v>55</v>
      </c>
    </row>
    <row r="67" spans="1:12" x14ac:dyDescent="0.3">
      <c r="A67" s="19" t="s">
        <v>327</v>
      </c>
      <c r="B67" s="19" t="s">
        <v>328</v>
      </c>
      <c r="C67" s="19" t="s">
        <v>329</v>
      </c>
      <c r="D67" s="19" t="s">
        <v>404</v>
      </c>
      <c r="E67" s="19">
        <v>75</v>
      </c>
      <c r="F67" s="19">
        <v>3.8</v>
      </c>
      <c r="G67" s="19">
        <v>7</v>
      </c>
      <c r="H67" s="19">
        <v>53.9</v>
      </c>
      <c r="I67" s="27" t="s">
        <v>42</v>
      </c>
      <c r="J67" s="19">
        <v>360</v>
      </c>
      <c r="K67" s="14">
        <f>INDEX(SKU_Master!$H:$H,MATCH(A67,SKU_Master!$A:$A,0))</f>
        <v>6</v>
      </c>
      <c r="L67" s="14">
        <f t="shared" si="1"/>
        <v>60</v>
      </c>
    </row>
    <row r="68" spans="1:12" x14ac:dyDescent="0.3">
      <c r="A68" s="19" t="s">
        <v>349</v>
      </c>
      <c r="B68" s="19" t="s">
        <v>350</v>
      </c>
      <c r="C68" s="19" t="s">
        <v>329</v>
      </c>
      <c r="D68" s="19" t="s">
        <v>403</v>
      </c>
      <c r="E68" s="19">
        <v>171</v>
      </c>
      <c r="F68" s="19">
        <v>3.8</v>
      </c>
      <c r="G68" s="19">
        <v>3</v>
      </c>
      <c r="H68" s="19">
        <v>91.4</v>
      </c>
      <c r="I68" s="27" t="s">
        <v>42</v>
      </c>
      <c r="J68" s="19">
        <v>606</v>
      </c>
      <c r="K68" s="14">
        <f>INDEX(SKU_Master!$H:$H,MATCH(A68,SKU_Master!$A:$A,0))</f>
        <v>6</v>
      </c>
      <c r="L68" s="14">
        <f t="shared" ref="L68:L99" si="2">IF(K68=0,0,ROUNDUP(J68/K68,0))</f>
        <v>101</v>
      </c>
    </row>
    <row r="69" spans="1:12" x14ac:dyDescent="0.3">
      <c r="A69" s="19" t="s">
        <v>357</v>
      </c>
      <c r="B69" s="19" t="s">
        <v>358</v>
      </c>
      <c r="C69" s="19" t="s">
        <v>329</v>
      </c>
      <c r="D69" s="19" t="s">
        <v>403</v>
      </c>
      <c r="E69" s="19">
        <v>91</v>
      </c>
      <c r="F69" s="19">
        <v>3.9</v>
      </c>
      <c r="G69" s="19">
        <v>4</v>
      </c>
      <c r="H69" s="19">
        <v>64.099999999999994</v>
      </c>
      <c r="I69" s="27" t="s">
        <v>42</v>
      </c>
      <c r="J69" s="19">
        <v>343</v>
      </c>
      <c r="K69" s="14">
        <f>INDEX(SKU_Master!$H:$H,MATCH(A69,SKU_Master!$A:$A,0))</f>
        <v>6</v>
      </c>
      <c r="L69" s="14">
        <f t="shared" si="2"/>
        <v>58</v>
      </c>
    </row>
    <row r="70" spans="1:12" x14ac:dyDescent="0.3">
      <c r="A70" s="19" t="s">
        <v>365</v>
      </c>
      <c r="B70" s="19" t="s">
        <v>366</v>
      </c>
      <c r="C70" s="19" t="s">
        <v>329</v>
      </c>
      <c r="D70" s="19" t="s">
        <v>403</v>
      </c>
      <c r="E70" s="19">
        <v>111</v>
      </c>
      <c r="F70" s="19">
        <v>4.0999999999999996</v>
      </c>
      <c r="G70" s="19">
        <v>10</v>
      </c>
      <c r="H70" s="19">
        <v>68.2</v>
      </c>
      <c r="I70" s="27" t="s">
        <v>42</v>
      </c>
      <c r="J70" s="19">
        <v>598</v>
      </c>
      <c r="K70" s="14">
        <f>INDEX(SKU_Master!$H:$H,MATCH(A70,SKU_Master!$A:$A,0))</f>
        <v>12</v>
      </c>
      <c r="L70" s="14">
        <f t="shared" si="2"/>
        <v>50</v>
      </c>
    </row>
    <row r="71" spans="1:12" x14ac:dyDescent="0.3">
      <c r="A71" s="19" t="s">
        <v>371</v>
      </c>
      <c r="B71" s="19" t="s">
        <v>372</v>
      </c>
      <c r="C71" s="19" t="s">
        <v>329</v>
      </c>
      <c r="D71" s="19" t="s">
        <v>403</v>
      </c>
      <c r="E71" s="19">
        <v>126</v>
      </c>
      <c r="F71" s="19">
        <v>4.8</v>
      </c>
      <c r="G71" s="19">
        <v>5</v>
      </c>
      <c r="H71" s="19">
        <v>60.1</v>
      </c>
      <c r="I71" s="27" t="s">
        <v>42</v>
      </c>
      <c r="J71" s="19">
        <v>397</v>
      </c>
      <c r="K71" s="14">
        <f>INDEX(SKU_Master!$H:$H,MATCH(A71,SKU_Master!$A:$A,0))</f>
        <v>6</v>
      </c>
      <c r="L71" s="14">
        <f t="shared" si="2"/>
        <v>67</v>
      </c>
    </row>
    <row r="72" spans="1:12" x14ac:dyDescent="0.3">
      <c r="A72" s="19" t="s">
        <v>333</v>
      </c>
      <c r="B72" s="19" t="s">
        <v>334</v>
      </c>
      <c r="C72" s="19" t="s">
        <v>329</v>
      </c>
      <c r="D72" s="19" t="s">
        <v>403</v>
      </c>
      <c r="E72" s="19">
        <v>314</v>
      </c>
      <c r="F72" s="19">
        <v>5.0999999999999996</v>
      </c>
      <c r="G72" s="19">
        <v>14</v>
      </c>
      <c r="H72" s="19">
        <v>188.7</v>
      </c>
      <c r="I72" s="27" t="s">
        <v>42</v>
      </c>
      <c r="J72" s="19">
        <v>1659</v>
      </c>
      <c r="K72" s="14">
        <f>INDEX(SKU_Master!$H:$H,MATCH(A72,SKU_Master!$A:$A,0))</f>
        <v>12</v>
      </c>
      <c r="L72" s="14">
        <f t="shared" si="2"/>
        <v>139</v>
      </c>
    </row>
    <row r="73" spans="1:12" x14ac:dyDescent="0.3">
      <c r="A73" s="19" t="s">
        <v>159</v>
      </c>
      <c r="B73" s="19" t="s">
        <v>160</v>
      </c>
      <c r="C73" s="19" t="s">
        <v>137</v>
      </c>
      <c r="D73" s="19" t="s">
        <v>405</v>
      </c>
      <c r="E73" s="19">
        <v>42</v>
      </c>
      <c r="F73" s="19">
        <v>1</v>
      </c>
      <c r="G73" s="19">
        <v>2</v>
      </c>
      <c r="H73" s="19">
        <v>298.39999999999998</v>
      </c>
      <c r="I73" s="28" t="s">
        <v>43</v>
      </c>
      <c r="J73" s="19">
        <v>508</v>
      </c>
      <c r="K73" s="14">
        <f>INDEX(SKU_Master!$H:$H,MATCH(A73,SKU_Master!$A:$A,0))</f>
        <v>24</v>
      </c>
      <c r="L73" s="14">
        <f t="shared" si="2"/>
        <v>22</v>
      </c>
    </row>
    <row r="74" spans="1:12" x14ac:dyDescent="0.3">
      <c r="A74" s="19" t="s">
        <v>312</v>
      </c>
      <c r="B74" s="19" t="s">
        <v>313</v>
      </c>
      <c r="C74" s="19" t="s">
        <v>266</v>
      </c>
      <c r="D74" s="19" t="s">
        <v>404</v>
      </c>
      <c r="E74" s="19">
        <v>109</v>
      </c>
      <c r="F74" s="19">
        <v>1</v>
      </c>
      <c r="G74" s="19">
        <v>2</v>
      </c>
      <c r="H74" s="19">
        <v>785.9</v>
      </c>
      <c r="I74" s="28" t="s">
        <v>43</v>
      </c>
      <c r="J74" s="19">
        <v>1303</v>
      </c>
      <c r="K74" s="14">
        <f>INDEX(SKU_Master!$H:$H,MATCH(A74,SKU_Master!$A:$A,0))</f>
        <v>42</v>
      </c>
      <c r="L74" s="14">
        <f t="shared" si="2"/>
        <v>32</v>
      </c>
    </row>
    <row r="75" spans="1:12" x14ac:dyDescent="0.3">
      <c r="A75" s="19" t="s">
        <v>273</v>
      </c>
      <c r="B75" s="19" t="s">
        <v>274</v>
      </c>
      <c r="C75" s="19" t="s">
        <v>266</v>
      </c>
      <c r="D75" s="19" t="s">
        <v>403</v>
      </c>
      <c r="E75" s="19">
        <v>148</v>
      </c>
      <c r="F75" s="19">
        <v>1.5</v>
      </c>
      <c r="G75" s="19">
        <v>2</v>
      </c>
      <c r="H75" s="19">
        <v>762.7</v>
      </c>
      <c r="I75" s="28" t="s">
        <v>43</v>
      </c>
      <c r="J75" s="19">
        <v>1116</v>
      </c>
      <c r="K75" s="14">
        <f>INDEX(SKU_Master!$H:$H,MATCH(A75,SKU_Master!$A:$A,0))</f>
        <v>54</v>
      </c>
      <c r="L75" s="14">
        <f t="shared" si="2"/>
        <v>21</v>
      </c>
    </row>
    <row r="76" spans="1:12" x14ac:dyDescent="0.3">
      <c r="A76" s="19" t="s">
        <v>126</v>
      </c>
      <c r="B76" s="19" t="s">
        <v>127</v>
      </c>
      <c r="C76" s="19" t="s">
        <v>57</v>
      </c>
      <c r="D76" s="19" t="s">
        <v>405</v>
      </c>
      <c r="E76" s="19">
        <v>121</v>
      </c>
      <c r="F76" s="19">
        <v>1.8</v>
      </c>
      <c r="G76" s="19">
        <v>3</v>
      </c>
      <c r="H76" s="19">
        <v>471.1</v>
      </c>
      <c r="I76" s="28" t="s">
        <v>43</v>
      </c>
      <c r="J76" s="19">
        <v>801</v>
      </c>
      <c r="K76" s="14">
        <f>INDEX(SKU_Master!$H:$H,MATCH(A76,SKU_Master!$A:$A,0))</f>
        <v>24</v>
      </c>
      <c r="L76" s="14">
        <f t="shared" si="2"/>
        <v>34</v>
      </c>
    </row>
    <row r="77" spans="1:12" x14ac:dyDescent="0.3">
      <c r="A77" s="19" t="s">
        <v>142</v>
      </c>
      <c r="B77" s="19" t="s">
        <v>143</v>
      </c>
      <c r="C77" s="19" t="s">
        <v>137</v>
      </c>
      <c r="D77" s="19" t="s">
        <v>405</v>
      </c>
      <c r="E77" s="19">
        <v>87</v>
      </c>
      <c r="F77" s="19">
        <v>1.8</v>
      </c>
      <c r="G77" s="19">
        <v>2</v>
      </c>
      <c r="H77" s="19">
        <v>221.8</v>
      </c>
      <c r="I77" s="28" t="s">
        <v>43</v>
      </c>
      <c r="J77" s="19">
        <v>560</v>
      </c>
      <c r="K77" s="14">
        <f>INDEX(SKU_Master!$H:$H,MATCH(A77,SKU_Master!$A:$A,0))</f>
        <v>36</v>
      </c>
      <c r="L77" s="14">
        <f t="shared" si="2"/>
        <v>16</v>
      </c>
    </row>
    <row r="78" spans="1:12" x14ac:dyDescent="0.3">
      <c r="A78" s="19" t="s">
        <v>295</v>
      </c>
      <c r="B78" s="19" t="s">
        <v>296</v>
      </c>
      <c r="C78" s="19" t="s">
        <v>266</v>
      </c>
      <c r="D78" s="19" t="s">
        <v>403</v>
      </c>
      <c r="E78" s="19">
        <v>238</v>
      </c>
      <c r="F78" s="19">
        <v>1.9</v>
      </c>
      <c r="G78" s="19">
        <v>2</v>
      </c>
      <c r="H78" s="19">
        <v>955.1</v>
      </c>
      <c r="I78" s="28" t="s">
        <v>43</v>
      </c>
      <c r="J78" s="19">
        <v>1448</v>
      </c>
      <c r="K78" s="14">
        <f>INDEX(SKU_Master!$H:$H,MATCH(A78,SKU_Master!$A:$A,0))</f>
        <v>42</v>
      </c>
      <c r="L78" s="14">
        <f t="shared" si="2"/>
        <v>35</v>
      </c>
    </row>
    <row r="79" spans="1:12" x14ac:dyDescent="0.3">
      <c r="A79" s="19" t="s">
        <v>150</v>
      </c>
      <c r="B79" s="19" t="s">
        <v>151</v>
      </c>
      <c r="C79" s="19" t="s">
        <v>137</v>
      </c>
      <c r="D79" s="19" t="s">
        <v>405</v>
      </c>
      <c r="E79" s="19">
        <v>90</v>
      </c>
      <c r="F79" s="19">
        <v>2</v>
      </c>
      <c r="G79" s="19">
        <v>3</v>
      </c>
      <c r="H79" s="19">
        <v>267.89999999999998</v>
      </c>
      <c r="I79" s="28" t="s">
        <v>43</v>
      </c>
      <c r="J79" s="19">
        <v>555</v>
      </c>
      <c r="K79" s="14">
        <f>INDEX(SKU_Master!$H:$H,MATCH(A79,SKU_Master!$A:$A,0))</f>
        <v>24</v>
      </c>
      <c r="L79" s="14">
        <f t="shared" si="2"/>
        <v>24</v>
      </c>
    </row>
    <row r="80" spans="1:12" x14ac:dyDescent="0.3">
      <c r="A80" s="19" t="s">
        <v>256</v>
      </c>
      <c r="B80" s="19" t="s">
        <v>257</v>
      </c>
      <c r="C80" s="19" t="s">
        <v>202</v>
      </c>
      <c r="D80" s="19" t="s">
        <v>405</v>
      </c>
      <c r="E80" s="19">
        <v>23</v>
      </c>
      <c r="F80" s="19">
        <v>2</v>
      </c>
      <c r="G80" s="19">
        <v>2</v>
      </c>
      <c r="H80" s="19">
        <v>74.3</v>
      </c>
      <c r="I80" s="28" t="s">
        <v>43</v>
      </c>
      <c r="J80" s="19">
        <v>125</v>
      </c>
      <c r="K80" s="14">
        <f>INDEX(SKU_Master!$H:$H,MATCH(A80,SKU_Master!$A:$A,0))</f>
        <v>12</v>
      </c>
      <c r="L80" s="14">
        <f t="shared" si="2"/>
        <v>11</v>
      </c>
    </row>
    <row r="81" spans="1:12" x14ac:dyDescent="0.3">
      <c r="A81" s="19" t="s">
        <v>244</v>
      </c>
      <c r="B81" s="19" t="s">
        <v>245</v>
      </c>
      <c r="C81" s="19" t="s">
        <v>202</v>
      </c>
      <c r="D81" s="19" t="s">
        <v>403</v>
      </c>
      <c r="E81" s="19">
        <v>35</v>
      </c>
      <c r="F81" s="19">
        <v>2.4</v>
      </c>
      <c r="G81" s="19">
        <v>4</v>
      </c>
      <c r="H81" s="19">
        <v>84.8</v>
      </c>
      <c r="I81" s="28" t="s">
        <v>43</v>
      </c>
      <c r="J81" s="19">
        <v>200</v>
      </c>
      <c r="K81" s="14">
        <f>INDEX(SKU_Master!$H:$H,MATCH(A81,SKU_Master!$A:$A,0))</f>
        <v>18</v>
      </c>
      <c r="L81" s="14">
        <f t="shared" si="2"/>
        <v>12</v>
      </c>
    </row>
    <row r="82" spans="1:12" x14ac:dyDescent="0.3">
      <c r="A82" s="19" t="s">
        <v>179</v>
      </c>
      <c r="B82" s="19" t="s">
        <v>180</v>
      </c>
      <c r="C82" s="19" t="s">
        <v>137</v>
      </c>
      <c r="D82" s="19" t="s">
        <v>403</v>
      </c>
      <c r="E82" s="19">
        <v>176</v>
      </c>
      <c r="F82" s="19">
        <v>2.5</v>
      </c>
      <c r="G82" s="19">
        <v>2</v>
      </c>
      <c r="H82" s="19">
        <v>319.39999999999998</v>
      </c>
      <c r="I82" s="28" t="s">
        <v>43</v>
      </c>
      <c r="J82" s="19">
        <v>769</v>
      </c>
      <c r="K82" s="14">
        <f>INDEX(SKU_Master!$H:$H,MATCH(A82,SKU_Master!$A:$A,0))</f>
        <v>36</v>
      </c>
      <c r="L82" s="14">
        <f t="shared" si="2"/>
        <v>22</v>
      </c>
    </row>
    <row r="83" spans="1:12" x14ac:dyDescent="0.3">
      <c r="A83" s="19" t="s">
        <v>208</v>
      </c>
      <c r="B83" s="19" t="s">
        <v>209</v>
      </c>
      <c r="C83" s="19" t="s">
        <v>202</v>
      </c>
      <c r="D83" s="19" t="s">
        <v>403</v>
      </c>
      <c r="E83" s="19">
        <v>96</v>
      </c>
      <c r="F83" s="19">
        <v>2.6</v>
      </c>
      <c r="G83" s="19">
        <v>2</v>
      </c>
      <c r="H83" s="19">
        <v>226.6</v>
      </c>
      <c r="I83" s="28" t="s">
        <v>43</v>
      </c>
      <c r="J83" s="19">
        <v>406</v>
      </c>
      <c r="K83" s="14">
        <f>INDEX(SKU_Master!$H:$H,MATCH(A83,SKU_Master!$A:$A,0))</f>
        <v>12</v>
      </c>
      <c r="L83" s="14">
        <f t="shared" si="2"/>
        <v>34</v>
      </c>
    </row>
    <row r="84" spans="1:12" x14ac:dyDescent="0.3">
      <c r="A84" s="19" t="s">
        <v>260</v>
      </c>
      <c r="B84" s="19" t="s">
        <v>261</v>
      </c>
      <c r="C84" s="19" t="s">
        <v>202</v>
      </c>
      <c r="D84" s="19" t="s">
        <v>404</v>
      </c>
      <c r="E84" s="19">
        <v>46</v>
      </c>
      <c r="F84" s="19">
        <v>2.6</v>
      </c>
      <c r="G84" s="19">
        <v>3</v>
      </c>
      <c r="H84" s="19">
        <v>99.1</v>
      </c>
      <c r="I84" s="28" t="s">
        <v>43</v>
      </c>
      <c r="J84" s="19">
        <v>216</v>
      </c>
      <c r="K84" s="14">
        <f>INDEX(SKU_Master!$H:$H,MATCH(A84,SKU_Master!$A:$A,0))</f>
        <v>24</v>
      </c>
      <c r="L84" s="14">
        <f t="shared" si="2"/>
        <v>9</v>
      </c>
    </row>
    <row r="85" spans="1:12" x14ac:dyDescent="0.3">
      <c r="A85" s="19" t="s">
        <v>183</v>
      </c>
      <c r="B85" s="19" t="s">
        <v>184</v>
      </c>
      <c r="C85" s="19" t="s">
        <v>137</v>
      </c>
      <c r="D85" s="19" t="s">
        <v>403</v>
      </c>
      <c r="E85" s="19">
        <v>327</v>
      </c>
      <c r="F85" s="19">
        <v>2.7</v>
      </c>
      <c r="G85" s="19">
        <v>4</v>
      </c>
      <c r="H85" s="19">
        <v>731.6</v>
      </c>
      <c r="I85" s="28" t="s">
        <v>43</v>
      </c>
      <c r="J85" s="19">
        <v>1590</v>
      </c>
      <c r="K85" s="14">
        <f>INDEX(SKU_Master!$H:$H,MATCH(A85,SKU_Master!$A:$A,0))</f>
        <v>36</v>
      </c>
      <c r="L85" s="14">
        <f t="shared" si="2"/>
        <v>45</v>
      </c>
    </row>
    <row r="86" spans="1:12" x14ac:dyDescent="0.3">
      <c r="A86" s="19" t="s">
        <v>318</v>
      </c>
      <c r="B86" s="19" t="s">
        <v>319</v>
      </c>
      <c r="C86" s="19" t="s">
        <v>266</v>
      </c>
      <c r="D86" s="19" t="s">
        <v>405</v>
      </c>
      <c r="E86" s="19">
        <v>209</v>
      </c>
      <c r="F86" s="19">
        <v>2.9</v>
      </c>
      <c r="G86" s="19">
        <v>4</v>
      </c>
      <c r="H86" s="19">
        <v>555.9</v>
      </c>
      <c r="I86" s="28" t="s">
        <v>43</v>
      </c>
      <c r="J86" s="19">
        <v>868</v>
      </c>
      <c r="K86" s="14">
        <f>INDEX(SKU_Master!$H:$H,MATCH(A86,SKU_Master!$A:$A,0))</f>
        <v>42</v>
      </c>
      <c r="L86" s="14">
        <f t="shared" si="2"/>
        <v>21</v>
      </c>
    </row>
    <row r="87" spans="1:12" x14ac:dyDescent="0.3">
      <c r="A87" s="19" t="s">
        <v>291</v>
      </c>
      <c r="B87" s="19" t="s">
        <v>292</v>
      </c>
      <c r="C87" s="19" t="s">
        <v>266</v>
      </c>
      <c r="D87" s="19" t="s">
        <v>404</v>
      </c>
      <c r="E87" s="19">
        <v>248</v>
      </c>
      <c r="F87" s="19">
        <v>3.1</v>
      </c>
      <c r="G87" s="19">
        <v>4</v>
      </c>
      <c r="H87" s="19">
        <v>532.9</v>
      </c>
      <c r="I87" s="28" t="s">
        <v>43</v>
      </c>
      <c r="J87" s="19">
        <v>988</v>
      </c>
      <c r="K87" s="14">
        <f>INDEX(SKU_Master!$H:$H,MATCH(A87,SKU_Master!$A:$A,0))</f>
        <v>60</v>
      </c>
      <c r="L87" s="14">
        <f t="shared" si="2"/>
        <v>17</v>
      </c>
    </row>
    <row r="88" spans="1:12" x14ac:dyDescent="0.3">
      <c r="A88" s="19" t="s">
        <v>83</v>
      </c>
      <c r="B88" s="19" t="s">
        <v>84</v>
      </c>
      <c r="C88" s="19" t="s">
        <v>57</v>
      </c>
      <c r="D88" s="19" t="s">
        <v>405</v>
      </c>
      <c r="E88" s="19">
        <v>257</v>
      </c>
      <c r="F88" s="19">
        <v>3.2</v>
      </c>
      <c r="G88" s="19">
        <v>10</v>
      </c>
      <c r="H88" s="19">
        <v>543.70000000000005</v>
      </c>
      <c r="I88" s="28" t="s">
        <v>43</v>
      </c>
      <c r="J88" s="19">
        <v>1528</v>
      </c>
      <c r="K88" s="14">
        <f>INDEX(SKU_Master!$H:$H,MATCH(A88,SKU_Master!$A:$A,0))</f>
        <v>24</v>
      </c>
      <c r="L88" s="14">
        <f t="shared" si="2"/>
        <v>64</v>
      </c>
    </row>
    <row r="89" spans="1:12" x14ac:dyDescent="0.3">
      <c r="A89" s="19" t="s">
        <v>258</v>
      </c>
      <c r="B89" s="19" t="s">
        <v>259</v>
      </c>
      <c r="C89" s="19" t="s">
        <v>202</v>
      </c>
      <c r="D89" s="19" t="s">
        <v>403</v>
      </c>
      <c r="E89" s="19">
        <v>102</v>
      </c>
      <c r="F89" s="19">
        <v>3.2</v>
      </c>
      <c r="G89" s="19">
        <v>4</v>
      </c>
      <c r="H89" s="19">
        <v>202.1</v>
      </c>
      <c r="I89" s="28" t="s">
        <v>43</v>
      </c>
      <c r="J89" s="19">
        <v>403</v>
      </c>
      <c r="K89" s="14">
        <f>INDEX(SKU_Master!$H:$H,MATCH(A89,SKU_Master!$A:$A,0))</f>
        <v>24</v>
      </c>
      <c r="L89" s="14">
        <f t="shared" si="2"/>
        <v>17</v>
      </c>
    </row>
    <row r="90" spans="1:12" x14ac:dyDescent="0.3">
      <c r="A90" s="19" t="s">
        <v>242</v>
      </c>
      <c r="B90" s="19" t="s">
        <v>243</v>
      </c>
      <c r="C90" s="19" t="s">
        <v>202</v>
      </c>
      <c r="D90" s="19" t="s">
        <v>403</v>
      </c>
      <c r="E90" s="19">
        <v>78</v>
      </c>
      <c r="F90" s="19">
        <v>3.4</v>
      </c>
      <c r="G90" s="19">
        <v>5</v>
      </c>
      <c r="H90" s="19">
        <v>127</v>
      </c>
      <c r="I90" s="28" t="s">
        <v>43</v>
      </c>
      <c r="J90" s="19">
        <v>332</v>
      </c>
      <c r="K90" s="14">
        <f>INDEX(SKU_Master!$H:$H,MATCH(A90,SKU_Master!$A:$A,0))</f>
        <v>12</v>
      </c>
      <c r="L90" s="14">
        <f t="shared" si="2"/>
        <v>28</v>
      </c>
    </row>
    <row r="91" spans="1:12" x14ac:dyDescent="0.3">
      <c r="A91" s="19" t="s">
        <v>115</v>
      </c>
      <c r="B91" s="19" t="s">
        <v>116</v>
      </c>
      <c r="C91" s="19" t="s">
        <v>57</v>
      </c>
      <c r="D91" s="19" t="s">
        <v>403</v>
      </c>
      <c r="E91" s="19">
        <v>525</v>
      </c>
      <c r="F91" s="19">
        <v>3.5</v>
      </c>
      <c r="G91" s="19">
        <v>5</v>
      </c>
      <c r="H91" s="19">
        <v>997.2</v>
      </c>
      <c r="I91" s="28" t="s">
        <v>43</v>
      </c>
      <c r="J91" s="19">
        <v>2145</v>
      </c>
      <c r="K91" s="14">
        <f>INDEX(SKU_Master!$H:$H,MATCH(A91,SKU_Master!$A:$A,0))</f>
        <v>30</v>
      </c>
      <c r="L91" s="14">
        <f t="shared" si="2"/>
        <v>72</v>
      </c>
    </row>
    <row r="92" spans="1:12" x14ac:dyDescent="0.3">
      <c r="A92" s="19" t="s">
        <v>224</v>
      </c>
      <c r="B92" s="19" t="s">
        <v>225</v>
      </c>
      <c r="C92" s="19" t="s">
        <v>202</v>
      </c>
      <c r="D92" s="19" t="s">
        <v>403</v>
      </c>
      <c r="E92" s="19">
        <v>49</v>
      </c>
      <c r="F92" s="19">
        <v>3.5</v>
      </c>
      <c r="G92" s="19">
        <v>5</v>
      </c>
      <c r="H92" s="19">
        <v>79.099999999999994</v>
      </c>
      <c r="I92" s="28" t="s">
        <v>43</v>
      </c>
      <c r="J92" s="19">
        <v>191</v>
      </c>
      <c r="K92" s="14">
        <f>INDEX(SKU_Master!$H:$H,MATCH(A92,SKU_Master!$A:$A,0))</f>
        <v>12</v>
      </c>
      <c r="L92" s="14">
        <f t="shared" si="2"/>
        <v>16</v>
      </c>
    </row>
    <row r="93" spans="1:12" x14ac:dyDescent="0.3">
      <c r="A93" s="19" t="s">
        <v>193</v>
      </c>
      <c r="B93" s="19" t="s">
        <v>194</v>
      </c>
      <c r="C93" s="19" t="s">
        <v>137</v>
      </c>
      <c r="D93" s="19" t="s">
        <v>403</v>
      </c>
      <c r="E93" s="19">
        <v>412</v>
      </c>
      <c r="F93" s="19">
        <v>3.6</v>
      </c>
      <c r="G93" s="19">
        <v>7</v>
      </c>
      <c r="H93" s="19">
        <v>676.4</v>
      </c>
      <c r="I93" s="28" t="s">
        <v>43</v>
      </c>
      <c r="J93" s="19">
        <v>1908</v>
      </c>
      <c r="K93" s="14">
        <f>INDEX(SKU_Master!$H:$H,MATCH(A93,SKU_Master!$A:$A,0))</f>
        <v>42</v>
      </c>
      <c r="L93" s="14">
        <f t="shared" si="2"/>
        <v>46</v>
      </c>
    </row>
    <row r="94" spans="1:12" x14ac:dyDescent="0.3">
      <c r="A94" s="19" t="s">
        <v>345</v>
      </c>
      <c r="B94" s="19" t="s">
        <v>346</v>
      </c>
      <c r="C94" s="19" t="s">
        <v>329</v>
      </c>
      <c r="D94" s="19" t="s">
        <v>403</v>
      </c>
      <c r="E94" s="19">
        <v>71</v>
      </c>
      <c r="F94" s="19">
        <v>3.6</v>
      </c>
      <c r="G94" s="19">
        <v>2</v>
      </c>
      <c r="H94" s="19">
        <v>50.7</v>
      </c>
      <c r="I94" s="28" t="s">
        <v>43</v>
      </c>
      <c r="J94" s="19">
        <v>216</v>
      </c>
      <c r="K94" s="14">
        <f>INDEX(SKU_Master!$H:$H,MATCH(A94,SKU_Master!$A:$A,0))</f>
        <v>6</v>
      </c>
      <c r="L94" s="14">
        <f t="shared" si="2"/>
        <v>36</v>
      </c>
    </row>
    <row r="95" spans="1:12" x14ac:dyDescent="0.3">
      <c r="A95" s="19" t="s">
        <v>165</v>
      </c>
      <c r="B95" s="19" t="s">
        <v>166</v>
      </c>
      <c r="C95" s="19" t="s">
        <v>137</v>
      </c>
      <c r="D95" s="19" t="s">
        <v>403</v>
      </c>
      <c r="E95" s="19">
        <v>199</v>
      </c>
      <c r="F95" s="19">
        <v>3.7</v>
      </c>
      <c r="G95" s="19">
        <v>4</v>
      </c>
      <c r="H95" s="19">
        <v>288.10000000000002</v>
      </c>
      <c r="I95" s="28" t="s">
        <v>43</v>
      </c>
      <c r="J95" s="19">
        <v>644</v>
      </c>
      <c r="K95" s="14">
        <f>INDEX(SKU_Master!$H:$H,MATCH(A95,SKU_Master!$A:$A,0))</f>
        <v>24</v>
      </c>
      <c r="L95" s="14">
        <f t="shared" si="2"/>
        <v>27</v>
      </c>
    </row>
    <row r="96" spans="1:12" x14ac:dyDescent="0.3">
      <c r="A96" s="19" t="s">
        <v>236</v>
      </c>
      <c r="B96" s="19" t="s">
        <v>237</v>
      </c>
      <c r="C96" s="19" t="s">
        <v>202</v>
      </c>
      <c r="D96" s="19" t="s">
        <v>403</v>
      </c>
      <c r="E96" s="19">
        <v>55</v>
      </c>
      <c r="F96" s="19">
        <v>3.7</v>
      </c>
      <c r="G96" s="19">
        <v>5</v>
      </c>
      <c r="H96" s="19">
        <v>102.8</v>
      </c>
      <c r="I96" s="28" t="s">
        <v>43</v>
      </c>
      <c r="J96" s="19">
        <v>204</v>
      </c>
      <c r="K96" s="14">
        <f>INDEX(SKU_Master!$H:$H,MATCH(A96,SKU_Master!$A:$A,0))</f>
        <v>12</v>
      </c>
      <c r="L96" s="14">
        <f t="shared" si="2"/>
        <v>17</v>
      </c>
    </row>
    <row r="97" spans="1:12" x14ac:dyDescent="0.3">
      <c r="A97" s="19" t="s">
        <v>361</v>
      </c>
      <c r="B97" s="19" t="s">
        <v>362</v>
      </c>
      <c r="C97" s="19" t="s">
        <v>329</v>
      </c>
      <c r="D97" s="19" t="s">
        <v>403</v>
      </c>
      <c r="E97" s="19">
        <v>94</v>
      </c>
      <c r="F97" s="19">
        <v>3.7</v>
      </c>
      <c r="G97" s="19">
        <v>2</v>
      </c>
      <c r="H97" s="19">
        <v>47.9</v>
      </c>
      <c r="I97" s="28" t="s">
        <v>43</v>
      </c>
      <c r="J97" s="19">
        <v>294</v>
      </c>
      <c r="K97" s="14">
        <f>INDEX(SKU_Master!$H:$H,MATCH(A97,SKU_Master!$A:$A,0))</f>
        <v>6</v>
      </c>
      <c r="L97" s="14">
        <f t="shared" si="2"/>
        <v>49</v>
      </c>
    </row>
    <row r="98" spans="1:12" x14ac:dyDescent="0.3">
      <c r="A98" s="19" t="s">
        <v>289</v>
      </c>
      <c r="B98" s="19" t="s">
        <v>290</v>
      </c>
      <c r="C98" s="19" t="s">
        <v>266</v>
      </c>
      <c r="D98" s="19" t="s">
        <v>404</v>
      </c>
      <c r="E98" s="19">
        <v>235</v>
      </c>
      <c r="F98" s="19">
        <v>4</v>
      </c>
      <c r="G98" s="19">
        <v>7</v>
      </c>
      <c r="H98" s="19">
        <v>453.8</v>
      </c>
      <c r="I98" s="28" t="s">
        <v>43</v>
      </c>
      <c r="J98" s="19">
        <v>877</v>
      </c>
      <c r="K98" s="14">
        <f>INDEX(SKU_Master!$H:$H,MATCH(A98,SKU_Master!$A:$A,0))</f>
        <v>48</v>
      </c>
      <c r="L98" s="14">
        <f t="shared" si="2"/>
        <v>19</v>
      </c>
    </row>
    <row r="99" spans="1:12" x14ac:dyDescent="0.3">
      <c r="A99" s="19" t="s">
        <v>163</v>
      </c>
      <c r="B99" s="19" t="s">
        <v>164</v>
      </c>
      <c r="C99" s="19" t="s">
        <v>137</v>
      </c>
      <c r="D99" s="19" t="s">
        <v>403</v>
      </c>
      <c r="E99" s="19">
        <v>320</v>
      </c>
      <c r="F99" s="19">
        <v>4.0999999999999996</v>
      </c>
      <c r="G99" s="19">
        <v>10</v>
      </c>
      <c r="H99" s="19">
        <v>450.6</v>
      </c>
      <c r="I99" s="28" t="s">
        <v>43</v>
      </c>
      <c r="J99" s="19">
        <v>1505</v>
      </c>
      <c r="K99" s="14">
        <f>INDEX(SKU_Master!$H:$H,MATCH(A99,SKU_Master!$A:$A,0))</f>
        <v>42</v>
      </c>
      <c r="L99" s="14">
        <f t="shared" si="2"/>
        <v>36</v>
      </c>
    </row>
    <row r="100" spans="1:12" x14ac:dyDescent="0.3">
      <c r="A100" s="19" t="s">
        <v>175</v>
      </c>
      <c r="B100" s="19" t="s">
        <v>176</v>
      </c>
      <c r="C100" s="19" t="s">
        <v>137</v>
      </c>
      <c r="D100" s="19" t="s">
        <v>403</v>
      </c>
      <c r="E100" s="19">
        <v>497</v>
      </c>
      <c r="F100" s="19">
        <v>4.4000000000000004</v>
      </c>
      <c r="G100" s="19">
        <v>14</v>
      </c>
      <c r="H100" s="19">
        <v>663.5</v>
      </c>
      <c r="I100" s="28" t="s">
        <v>43</v>
      </c>
      <c r="J100" s="19">
        <v>2694</v>
      </c>
      <c r="K100" s="14">
        <f>INDEX(SKU_Master!$H:$H,MATCH(A100,SKU_Master!$A:$A,0))</f>
        <v>30</v>
      </c>
      <c r="L100" s="14">
        <f t="shared" ref="L100:L131" si="3">IF(K100=0,0,ROUNDUP(J100/K100,0))</f>
        <v>90</v>
      </c>
    </row>
    <row r="101" spans="1:12" x14ac:dyDescent="0.3">
      <c r="A101" s="19" t="s">
        <v>254</v>
      </c>
      <c r="B101" s="19" t="s">
        <v>255</v>
      </c>
      <c r="C101" s="19" t="s">
        <v>202</v>
      </c>
      <c r="D101" s="19" t="s">
        <v>403</v>
      </c>
      <c r="E101" s="19">
        <v>115</v>
      </c>
      <c r="F101" s="19">
        <v>4.4000000000000004</v>
      </c>
      <c r="G101" s="19">
        <v>7</v>
      </c>
      <c r="H101" s="19">
        <v>138.69999999999999</v>
      </c>
      <c r="I101" s="28" t="s">
        <v>43</v>
      </c>
      <c r="J101" s="19">
        <v>403</v>
      </c>
      <c r="K101" s="14">
        <f>INDEX(SKU_Master!$H:$H,MATCH(A101,SKU_Master!$A:$A,0))</f>
        <v>12</v>
      </c>
      <c r="L101" s="14">
        <f t="shared" si="3"/>
        <v>34</v>
      </c>
    </row>
    <row r="102" spans="1:12" x14ac:dyDescent="0.3">
      <c r="A102" s="19" t="s">
        <v>161</v>
      </c>
      <c r="B102" s="19" t="s">
        <v>162</v>
      </c>
      <c r="C102" s="19" t="s">
        <v>137</v>
      </c>
      <c r="D102" s="19" t="s">
        <v>403</v>
      </c>
      <c r="E102" s="19">
        <v>393</v>
      </c>
      <c r="F102" s="19">
        <v>4.5</v>
      </c>
      <c r="G102" s="19">
        <v>14</v>
      </c>
      <c r="H102" s="19">
        <v>439.8</v>
      </c>
      <c r="I102" s="28" t="s">
        <v>43</v>
      </c>
      <c r="J102" s="19">
        <v>2056</v>
      </c>
      <c r="K102" s="14">
        <f>INDEX(SKU_Master!$H:$H,MATCH(A102,SKU_Master!$A:$A,0))</f>
        <v>42</v>
      </c>
      <c r="L102" s="14">
        <f t="shared" si="3"/>
        <v>49</v>
      </c>
    </row>
    <row r="103" spans="1:12" x14ac:dyDescent="0.3">
      <c r="A103" s="19" t="s">
        <v>216</v>
      </c>
      <c r="B103" s="19" t="s">
        <v>217</v>
      </c>
      <c r="C103" s="19" t="s">
        <v>202</v>
      </c>
      <c r="D103" s="19" t="s">
        <v>403</v>
      </c>
      <c r="E103" s="19">
        <v>101</v>
      </c>
      <c r="F103" s="19">
        <v>4.5999999999999996</v>
      </c>
      <c r="G103" s="19">
        <v>5</v>
      </c>
      <c r="H103" s="19">
        <v>120.2</v>
      </c>
      <c r="I103" s="28" t="s">
        <v>43</v>
      </c>
      <c r="J103" s="19">
        <v>282</v>
      </c>
      <c r="K103" s="14">
        <f>INDEX(SKU_Master!$H:$H,MATCH(A103,SKU_Master!$A:$A,0))</f>
        <v>12</v>
      </c>
      <c r="L103" s="14">
        <f t="shared" si="3"/>
        <v>24</v>
      </c>
    </row>
    <row r="104" spans="1:12" x14ac:dyDescent="0.3">
      <c r="A104" s="19" t="s">
        <v>123</v>
      </c>
      <c r="B104" s="19" t="s">
        <v>124</v>
      </c>
      <c r="C104" s="19" t="s">
        <v>57</v>
      </c>
      <c r="D104" s="19" t="s">
        <v>403</v>
      </c>
      <c r="E104" s="19">
        <v>488</v>
      </c>
      <c r="F104" s="19">
        <v>4.7</v>
      </c>
      <c r="G104" s="19">
        <v>14</v>
      </c>
      <c r="H104" s="19">
        <v>749.5</v>
      </c>
      <c r="I104" s="28" t="s">
        <v>43</v>
      </c>
      <c r="J104" s="19">
        <v>2423</v>
      </c>
      <c r="K104" s="14">
        <f>INDEX(SKU_Master!$H:$H,MATCH(A104,SKU_Master!$A:$A,0))</f>
        <v>42</v>
      </c>
      <c r="L104" s="14">
        <f t="shared" si="3"/>
        <v>58</v>
      </c>
    </row>
    <row r="105" spans="1:12" x14ac:dyDescent="0.3">
      <c r="A105" s="19" t="s">
        <v>185</v>
      </c>
      <c r="B105" s="19" t="s">
        <v>186</v>
      </c>
      <c r="C105" s="19" t="s">
        <v>137</v>
      </c>
      <c r="D105" s="19" t="s">
        <v>405</v>
      </c>
      <c r="E105" s="19">
        <v>225</v>
      </c>
      <c r="F105" s="19">
        <v>4.7</v>
      </c>
      <c r="G105" s="19">
        <v>4</v>
      </c>
      <c r="H105" s="19">
        <v>304.10000000000002</v>
      </c>
      <c r="I105" s="28" t="s">
        <v>43</v>
      </c>
      <c r="J105" s="19">
        <v>492</v>
      </c>
      <c r="K105" s="14">
        <f>INDEX(SKU_Master!$H:$H,MATCH(A105,SKU_Master!$A:$A,0))</f>
        <v>36</v>
      </c>
      <c r="L105" s="14">
        <f t="shared" si="3"/>
        <v>14</v>
      </c>
    </row>
    <row r="106" spans="1:12" x14ac:dyDescent="0.3">
      <c r="A106" s="19" t="s">
        <v>275</v>
      </c>
      <c r="B106" s="19" t="s">
        <v>276</v>
      </c>
      <c r="C106" s="19" t="s">
        <v>266</v>
      </c>
      <c r="D106" s="19" t="s">
        <v>405</v>
      </c>
      <c r="E106" s="19">
        <v>318</v>
      </c>
      <c r="F106" s="19">
        <v>4.8</v>
      </c>
      <c r="G106" s="19">
        <v>14</v>
      </c>
      <c r="H106" s="19">
        <v>453.9</v>
      </c>
      <c r="I106" s="28" t="s">
        <v>43</v>
      </c>
      <c r="J106" s="19">
        <v>1434</v>
      </c>
      <c r="K106" s="14">
        <f>INDEX(SKU_Master!$H:$H,MATCH(A106,SKU_Master!$A:$A,0))</f>
        <v>48</v>
      </c>
      <c r="L106" s="14">
        <f t="shared" si="3"/>
        <v>30</v>
      </c>
    </row>
    <row r="107" spans="1:12" x14ac:dyDescent="0.3">
      <c r="A107" s="19" t="s">
        <v>195</v>
      </c>
      <c r="B107" s="19" t="s">
        <v>196</v>
      </c>
      <c r="C107" s="19" t="s">
        <v>137</v>
      </c>
      <c r="D107" s="19" t="s">
        <v>404</v>
      </c>
      <c r="E107" s="19">
        <v>209</v>
      </c>
      <c r="F107" s="19">
        <v>4.9000000000000004</v>
      </c>
      <c r="G107" s="19">
        <v>5</v>
      </c>
      <c r="H107" s="19">
        <v>196.3</v>
      </c>
      <c r="I107" s="28" t="s">
        <v>43</v>
      </c>
      <c r="J107" s="19">
        <v>512</v>
      </c>
      <c r="K107" s="14">
        <f>INDEX(SKU_Master!$H:$H,MATCH(A107,SKU_Master!$A:$A,0))</f>
        <v>30</v>
      </c>
      <c r="L107" s="14">
        <f t="shared" si="3"/>
        <v>18</v>
      </c>
    </row>
    <row r="108" spans="1:12" x14ac:dyDescent="0.3">
      <c r="A108" s="19" t="s">
        <v>232</v>
      </c>
      <c r="B108" s="19" t="s">
        <v>233</v>
      </c>
      <c r="C108" s="19" t="s">
        <v>202</v>
      </c>
      <c r="D108" s="19" t="s">
        <v>403</v>
      </c>
      <c r="E108" s="19">
        <v>92</v>
      </c>
      <c r="F108" s="19">
        <v>4.9000000000000004</v>
      </c>
      <c r="G108" s="19">
        <v>14</v>
      </c>
      <c r="H108" s="19">
        <v>108.8</v>
      </c>
      <c r="I108" s="28" t="s">
        <v>43</v>
      </c>
      <c r="J108" s="19">
        <v>426</v>
      </c>
      <c r="K108" s="14">
        <f>INDEX(SKU_Master!$H:$H,MATCH(A108,SKU_Master!$A:$A,0))</f>
        <v>18</v>
      </c>
      <c r="L108" s="14">
        <f t="shared" si="3"/>
        <v>24</v>
      </c>
    </row>
    <row r="109" spans="1:12" x14ac:dyDescent="0.3">
      <c r="A109" s="19" t="s">
        <v>88</v>
      </c>
      <c r="B109" s="19" t="s">
        <v>89</v>
      </c>
      <c r="C109" s="19" t="s">
        <v>57</v>
      </c>
      <c r="D109" s="19" t="s">
        <v>403</v>
      </c>
      <c r="E109" s="19">
        <v>420</v>
      </c>
      <c r="F109" s="19">
        <v>5</v>
      </c>
      <c r="G109" s="19">
        <v>14</v>
      </c>
      <c r="H109" s="19">
        <v>611.29999999999995</v>
      </c>
      <c r="I109" s="28" t="s">
        <v>43</v>
      </c>
      <c r="J109" s="19">
        <v>1879</v>
      </c>
      <c r="K109" s="14">
        <f>INDEX(SKU_Master!$H:$H,MATCH(A109,SKU_Master!$A:$A,0))</f>
        <v>48</v>
      </c>
      <c r="L109" s="14">
        <f t="shared" si="3"/>
        <v>40</v>
      </c>
    </row>
    <row r="110" spans="1:12" x14ac:dyDescent="0.3">
      <c r="A110" s="19" t="s">
        <v>90</v>
      </c>
      <c r="B110" s="19" t="s">
        <v>91</v>
      </c>
      <c r="C110" s="19" t="s">
        <v>57</v>
      </c>
      <c r="D110" s="19" t="s">
        <v>403</v>
      </c>
      <c r="E110" s="19">
        <v>1573</v>
      </c>
      <c r="F110" s="19">
        <v>5</v>
      </c>
      <c r="G110" s="19">
        <v>10</v>
      </c>
      <c r="H110" s="19">
        <v>2315.4</v>
      </c>
      <c r="I110" s="28" t="s">
        <v>43</v>
      </c>
      <c r="J110" s="19">
        <v>5634</v>
      </c>
      <c r="K110" s="14">
        <f>INDEX(SKU_Master!$H:$H,MATCH(A110,SKU_Master!$A:$A,0))</f>
        <v>42</v>
      </c>
      <c r="L110" s="14">
        <f t="shared" si="3"/>
        <v>135</v>
      </c>
    </row>
    <row r="111" spans="1:12" x14ac:dyDescent="0.3">
      <c r="A111" s="19" t="s">
        <v>140</v>
      </c>
      <c r="B111" s="19" t="s">
        <v>141</v>
      </c>
      <c r="C111" s="19" t="s">
        <v>137</v>
      </c>
      <c r="D111" s="19" t="s">
        <v>405</v>
      </c>
      <c r="E111" s="19">
        <v>332</v>
      </c>
      <c r="F111" s="19">
        <v>5</v>
      </c>
      <c r="G111" s="19">
        <v>7</v>
      </c>
      <c r="H111" s="19">
        <v>414.1</v>
      </c>
      <c r="I111" s="28" t="s">
        <v>43</v>
      </c>
      <c r="J111" s="19">
        <v>890</v>
      </c>
      <c r="K111" s="14">
        <f>INDEX(SKU_Master!$H:$H,MATCH(A111,SKU_Master!$A:$A,0))</f>
        <v>30</v>
      </c>
      <c r="L111" s="14">
        <f t="shared" si="3"/>
        <v>30</v>
      </c>
    </row>
    <row r="112" spans="1:12" x14ac:dyDescent="0.3">
      <c r="A112" s="19" t="s">
        <v>250</v>
      </c>
      <c r="B112" s="19" t="s">
        <v>251</v>
      </c>
      <c r="C112" s="19" t="s">
        <v>202</v>
      </c>
      <c r="D112" s="19" t="s">
        <v>403</v>
      </c>
      <c r="E112" s="19">
        <v>117</v>
      </c>
      <c r="F112" s="19">
        <v>5</v>
      </c>
      <c r="G112" s="19">
        <v>7</v>
      </c>
      <c r="H112" s="19">
        <v>117.1</v>
      </c>
      <c r="I112" s="28" t="s">
        <v>43</v>
      </c>
      <c r="J112" s="19">
        <v>365</v>
      </c>
      <c r="K112" s="14">
        <f>INDEX(SKU_Master!$H:$H,MATCH(A112,SKU_Master!$A:$A,0))</f>
        <v>12</v>
      </c>
      <c r="L112" s="14">
        <f t="shared" si="3"/>
        <v>31</v>
      </c>
    </row>
    <row r="113" spans="1:12" x14ac:dyDescent="0.3">
      <c r="A113" s="19" t="s">
        <v>322</v>
      </c>
      <c r="B113" s="19" t="s">
        <v>323</v>
      </c>
      <c r="C113" s="19" t="s">
        <v>266</v>
      </c>
      <c r="D113" s="19" t="s">
        <v>404</v>
      </c>
      <c r="E113" s="19">
        <v>282</v>
      </c>
      <c r="F113" s="19">
        <v>5</v>
      </c>
      <c r="G113" s="19">
        <v>5</v>
      </c>
      <c r="H113" s="19">
        <v>467.7</v>
      </c>
      <c r="I113" s="28" t="s">
        <v>43</v>
      </c>
      <c r="J113" s="19">
        <v>646</v>
      </c>
      <c r="K113" s="14">
        <f>INDEX(SKU_Master!$H:$H,MATCH(A113,SKU_Master!$A:$A,0))</f>
        <v>48</v>
      </c>
      <c r="L113" s="14">
        <f t="shared" si="3"/>
        <v>14</v>
      </c>
    </row>
    <row r="114" spans="1:12" x14ac:dyDescent="0.3">
      <c r="A114" s="19" t="s">
        <v>169</v>
      </c>
      <c r="B114" s="19" t="s">
        <v>170</v>
      </c>
      <c r="C114" s="19" t="s">
        <v>137</v>
      </c>
      <c r="D114" s="19" t="s">
        <v>405</v>
      </c>
      <c r="E114" s="19">
        <v>447</v>
      </c>
      <c r="F114" s="19">
        <v>5.3</v>
      </c>
      <c r="G114" s="19">
        <v>10</v>
      </c>
      <c r="H114" s="19">
        <v>442.8</v>
      </c>
      <c r="I114" s="28" t="s">
        <v>43</v>
      </c>
      <c r="J114" s="19">
        <v>1423</v>
      </c>
      <c r="K114" s="14">
        <f>INDEX(SKU_Master!$H:$H,MATCH(A114,SKU_Master!$A:$A,0))</f>
        <v>42</v>
      </c>
      <c r="L114" s="14">
        <f t="shared" si="3"/>
        <v>34</v>
      </c>
    </row>
    <row r="115" spans="1:12" x14ac:dyDescent="0.3">
      <c r="A115" s="19" t="s">
        <v>335</v>
      </c>
      <c r="B115" s="19" t="s">
        <v>336</v>
      </c>
      <c r="C115" s="19" t="s">
        <v>329</v>
      </c>
      <c r="D115" s="19" t="s">
        <v>403</v>
      </c>
      <c r="E115" s="19">
        <v>127</v>
      </c>
      <c r="F115" s="19">
        <v>5.9</v>
      </c>
      <c r="G115" s="19">
        <v>3</v>
      </c>
      <c r="H115" s="19">
        <v>45.8</v>
      </c>
      <c r="I115" s="28" t="s">
        <v>43</v>
      </c>
      <c r="J115" s="19">
        <v>247</v>
      </c>
      <c r="K115" s="14">
        <f>INDEX(SKU_Master!$H:$H,MATCH(A115,SKU_Master!$A:$A,0))</f>
        <v>6</v>
      </c>
      <c r="L115" s="14">
        <f t="shared" si="3"/>
        <v>42</v>
      </c>
    </row>
    <row r="116" spans="1:12" x14ac:dyDescent="0.3">
      <c r="A116" s="19" t="s">
        <v>154</v>
      </c>
      <c r="B116" s="19" t="s">
        <v>155</v>
      </c>
      <c r="C116" s="19" t="s">
        <v>137</v>
      </c>
      <c r="D116" s="19" t="s">
        <v>403</v>
      </c>
      <c r="E116" s="19">
        <v>713</v>
      </c>
      <c r="F116" s="19">
        <v>6.2</v>
      </c>
      <c r="G116" s="19">
        <v>14</v>
      </c>
      <c r="H116" s="19">
        <v>633</v>
      </c>
      <c r="I116" s="28" t="s">
        <v>43</v>
      </c>
      <c r="J116" s="19">
        <v>2450</v>
      </c>
      <c r="K116" s="14">
        <f>INDEX(SKU_Master!$H:$H,MATCH(A116,SKU_Master!$A:$A,0))</f>
        <v>48</v>
      </c>
      <c r="L116" s="14">
        <f t="shared" si="3"/>
        <v>52</v>
      </c>
    </row>
    <row r="117" spans="1:12" x14ac:dyDescent="0.3">
      <c r="A117" s="19" t="s">
        <v>385</v>
      </c>
      <c r="B117" s="19" t="s">
        <v>386</v>
      </c>
      <c r="C117" s="19" t="s">
        <v>329</v>
      </c>
      <c r="D117" s="19" t="s">
        <v>403</v>
      </c>
      <c r="E117" s="19">
        <v>235</v>
      </c>
      <c r="F117" s="19">
        <v>6.2</v>
      </c>
      <c r="G117" s="19">
        <v>7</v>
      </c>
      <c r="H117" s="19">
        <v>97.5</v>
      </c>
      <c r="I117" s="28" t="s">
        <v>43</v>
      </c>
      <c r="J117" s="19">
        <v>619</v>
      </c>
      <c r="K117" s="14">
        <f>INDEX(SKU_Master!$H:$H,MATCH(A117,SKU_Master!$A:$A,0))</f>
        <v>6</v>
      </c>
      <c r="L117" s="14">
        <f t="shared" si="3"/>
        <v>104</v>
      </c>
    </row>
    <row r="118" spans="1:12" x14ac:dyDescent="0.3">
      <c r="A118" s="19" t="s">
        <v>104</v>
      </c>
      <c r="B118" s="19" t="s">
        <v>105</v>
      </c>
      <c r="C118" s="19" t="s">
        <v>57</v>
      </c>
      <c r="D118" s="19" t="s">
        <v>403</v>
      </c>
      <c r="E118" s="19">
        <v>665</v>
      </c>
      <c r="F118" s="19">
        <v>6.5</v>
      </c>
      <c r="G118" s="19">
        <v>7</v>
      </c>
      <c r="H118" s="19">
        <v>695.7</v>
      </c>
      <c r="I118" s="28" t="s">
        <v>43</v>
      </c>
      <c r="J118" s="19">
        <v>1350</v>
      </c>
      <c r="K118" s="14">
        <f>INDEX(SKU_Master!$H:$H,MATCH(A118,SKU_Master!$A:$A,0))</f>
        <v>24</v>
      </c>
      <c r="L118" s="14">
        <f t="shared" si="3"/>
        <v>57</v>
      </c>
    </row>
    <row r="119" spans="1:12" x14ac:dyDescent="0.3">
      <c r="A119" s="19" t="s">
        <v>69</v>
      </c>
      <c r="B119" s="19" t="s">
        <v>70</v>
      </c>
      <c r="C119" s="19" t="s">
        <v>57</v>
      </c>
      <c r="D119" s="19" t="s">
        <v>403</v>
      </c>
      <c r="E119" s="19">
        <v>1142</v>
      </c>
      <c r="F119" s="19">
        <v>7.2</v>
      </c>
      <c r="G119" s="19">
        <v>14</v>
      </c>
      <c r="H119" s="19">
        <v>1023.7</v>
      </c>
      <c r="I119" s="28" t="s">
        <v>43</v>
      </c>
      <c r="J119" s="19">
        <v>3216</v>
      </c>
      <c r="K119" s="14">
        <f>INDEX(SKU_Master!$H:$H,MATCH(A119,SKU_Master!$A:$A,0))</f>
        <v>36</v>
      </c>
      <c r="L119" s="14">
        <f t="shared" si="3"/>
        <v>90</v>
      </c>
    </row>
    <row r="120" spans="1:12" x14ac:dyDescent="0.3">
      <c r="A120" s="19" t="s">
        <v>369</v>
      </c>
      <c r="B120" s="19" t="s">
        <v>370</v>
      </c>
      <c r="C120" s="19" t="s">
        <v>329</v>
      </c>
      <c r="D120" s="19" t="s">
        <v>403</v>
      </c>
      <c r="E120" s="19">
        <v>165</v>
      </c>
      <c r="F120" s="19">
        <v>8.1</v>
      </c>
      <c r="G120" s="19">
        <v>5</v>
      </c>
      <c r="H120" s="19">
        <v>53.6</v>
      </c>
      <c r="I120" s="28" t="s">
        <v>43</v>
      </c>
      <c r="J120" s="19">
        <v>240</v>
      </c>
      <c r="K120" s="14">
        <f>INDEX(SKU_Master!$H:$H,MATCH(A120,SKU_Master!$A:$A,0))</f>
        <v>6</v>
      </c>
      <c r="L120" s="14">
        <f t="shared" si="3"/>
        <v>40</v>
      </c>
    </row>
    <row r="121" spans="1:12" x14ac:dyDescent="0.3">
      <c r="A121" s="19" t="s">
        <v>187</v>
      </c>
      <c r="B121" s="19" t="s">
        <v>188</v>
      </c>
      <c r="C121" s="19" t="s">
        <v>137</v>
      </c>
      <c r="D121" s="19" t="s">
        <v>405</v>
      </c>
      <c r="E121" s="19">
        <v>315</v>
      </c>
      <c r="F121" s="19">
        <v>8.4</v>
      </c>
      <c r="G121" s="19">
        <v>14</v>
      </c>
      <c r="H121" s="19">
        <v>206.1</v>
      </c>
      <c r="I121" s="28" t="s">
        <v>43</v>
      </c>
      <c r="J121" s="19">
        <v>667</v>
      </c>
      <c r="K121" s="14">
        <f>INDEX(SKU_Master!$H:$H,MATCH(A121,SKU_Master!$A:$A,0))</f>
        <v>42</v>
      </c>
      <c r="L121" s="14">
        <f t="shared" si="3"/>
        <v>16</v>
      </c>
    </row>
    <row r="122" spans="1:12" x14ac:dyDescent="0.3">
      <c r="A122" s="19" t="s">
        <v>99</v>
      </c>
      <c r="B122" s="19" t="s">
        <v>100</v>
      </c>
      <c r="C122" s="19" t="s">
        <v>57</v>
      </c>
      <c r="D122" s="19" t="s">
        <v>403</v>
      </c>
      <c r="E122" s="19">
        <v>699</v>
      </c>
      <c r="F122" s="19">
        <v>8.5</v>
      </c>
      <c r="G122" s="19">
        <v>10</v>
      </c>
      <c r="H122" s="19">
        <v>612.29999999999995</v>
      </c>
      <c r="I122" s="28" t="s">
        <v>43</v>
      </c>
      <c r="J122" s="19">
        <v>1186</v>
      </c>
      <c r="K122" s="14">
        <f>INDEX(SKU_Master!$H:$H,MATCH(A122,SKU_Master!$A:$A,0))</f>
        <v>24</v>
      </c>
      <c r="L122" s="14">
        <f t="shared" si="3"/>
        <v>50</v>
      </c>
    </row>
    <row r="123" spans="1:12" x14ac:dyDescent="0.3">
      <c r="A123" s="19" t="s">
        <v>234</v>
      </c>
      <c r="B123" s="19" t="s">
        <v>235</v>
      </c>
      <c r="C123" s="19" t="s">
        <v>202</v>
      </c>
      <c r="D123" s="19" t="s">
        <v>403</v>
      </c>
      <c r="E123" s="19">
        <v>237</v>
      </c>
      <c r="F123" s="19">
        <v>8.9</v>
      </c>
      <c r="G123" s="19">
        <v>7</v>
      </c>
      <c r="H123" s="19">
        <v>120.8</v>
      </c>
      <c r="I123" s="28" t="s">
        <v>43</v>
      </c>
      <c r="J123" s="19">
        <v>314</v>
      </c>
      <c r="K123" s="14">
        <f>INDEX(SKU_Master!$H:$H,MATCH(A123,SKU_Master!$A:$A,0))</f>
        <v>12</v>
      </c>
      <c r="L123" s="14">
        <f t="shared" si="3"/>
        <v>27</v>
      </c>
    </row>
    <row r="124" spans="1:12" x14ac:dyDescent="0.3">
      <c r="A124" s="19" t="s">
        <v>359</v>
      </c>
      <c r="B124" s="19" t="s">
        <v>360</v>
      </c>
      <c r="C124" s="19" t="s">
        <v>329</v>
      </c>
      <c r="D124" s="19" t="s">
        <v>403</v>
      </c>
      <c r="E124" s="19">
        <v>330</v>
      </c>
      <c r="F124" s="19">
        <v>10.199999999999999</v>
      </c>
      <c r="G124" s="19">
        <v>7</v>
      </c>
      <c r="H124" s="19">
        <v>96.2</v>
      </c>
      <c r="I124" s="28" t="s">
        <v>43</v>
      </c>
      <c r="J124" s="19">
        <v>380</v>
      </c>
      <c r="K124" s="14">
        <f>INDEX(SKU_Master!$H:$H,MATCH(A124,SKU_Master!$A:$A,0))</f>
        <v>6</v>
      </c>
      <c r="L124" s="14">
        <f t="shared" si="3"/>
        <v>64</v>
      </c>
    </row>
    <row r="125" spans="1:12" x14ac:dyDescent="0.3">
      <c r="A125" s="19" t="s">
        <v>252</v>
      </c>
      <c r="B125" s="19" t="s">
        <v>253</v>
      </c>
      <c r="C125" s="19" t="s">
        <v>202</v>
      </c>
      <c r="D125" s="19" t="s">
        <v>405</v>
      </c>
      <c r="E125" s="19">
        <v>162</v>
      </c>
      <c r="F125" s="19">
        <v>12.3</v>
      </c>
      <c r="G125" s="19">
        <v>14</v>
      </c>
      <c r="H125" s="19">
        <v>64.8</v>
      </c>
      <c r="I125" s="28" t="s">
        <v>43</v>
      </c>
      <c r="J125" s="19">
        <v>194</v>
      </c>
      <c r="K125" s="14">
        <f>INDEX(SKU_Master!$H:$H,MATCH(A125,SKU_Master!$A:$A,0))</f>
        <v>18</v>
      </c>
      <c r="L125" s="14">
        <f t="shared" si="3"/>
        <v>11</v>
      </c>
    </row>
    <row r="126" spans="1:12" x14ac:dyDescent="0.3">
      <c r="A126" s="19" t="s">
        <v>277</v>
      </c>
      <c r="B126" s="19" t="s">
        <v>278</v>
      </c>
      <c r="C126" s="19" t="s">
        <v>266</v>
      </c>
      <c r="D126" s="19" t="s">
        <v>404</v>
      </c>
      <c r="E126" s="19">
        <v>1159</v>
      </c>
      <c r="F126" s="19">
        <v>13.2</v>
      </c>
      <c r="G126" s="19">
        <v>14</v>
      </c>
      <c r="H126" s="19">
        <v>656.4</v>
      </c>
      <c r="I126" s="28" t="s">
        <v>43</v>
      </c>
      <c r="J126" s="19">
        <v>1187</v>
      </c>
      <c r="K126" s="14">
        <f>INDEX(SKU_Master!$H:$H,MATCH(A126,SKU_Master!$A:$A,0))</f>
        <v>36</v>
      </c>
      <c r="L126" s="14">
        <f t="shared" si="3"/>
        <v>33</v>
      </c>
    </row>
    <row r="128" spans="1:12" x14ac:dyDescent="0.3">
      <c r="A128" s="17" t="s">
        <v>437</v>
      </c>
    </row>
  </sheetData>
  <autoFilter ref="A3:L126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Dashboard</vt:lpstr>
      <vt:lpstr>SKU_Master</vt:lpstr>
      <vt:lpstr>Demand_Stats</vt:lpstr>
      <vt:lpstr>ABC_Analysis</vt:lpstr>
      <vt:lpstr>Reorder_Point_Calc</vt:lpstr>
      <vt:lpstr>Fill_Rate_Impact</vt:lpstr>
      <vt:lpstr>Forecast_Model</vt:lpstr>
      <vt:lpstr>Reorder_Alerts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niki.chakraborty2005@outlook.com</cp:lastModifiedBy>
  <cp:revision>1</cp:revision>
  <dcterms:created xsi:type="dcterms:W3CDTF">2026-09-03T18:29:17Z</dcterms:created>
  <dcterms:modified xsi:type="dcterms:W3CDTF">2026-09-04T17:00:04Z</dcterms:modified>
  <dc:language>en-US</dc:language>
</cp:coreProperties>
</file>